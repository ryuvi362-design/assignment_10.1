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3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4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5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78230292e7ad509/Desktop/python/EXCEL ASSISIGNMENT/"/>
    </mc:Choice>
  </mc:AlternateContent>
  <xr:revisionPtr revIDLastSave="142" documentId="8_{5FA0F15B-4D10-4C7F-AC0D-34A5AC72454C}" xr6:coauthVersionLast="47" xr6:coauthVersionMax="47" xr10:uidLastSave="{2D7420A5-5726-46E6-82A1-CE5676CEC7BE}"/>
  <bookViews>
    <workbookView xWindow="-108" yWindow="-108" windowWidth="23256" windowHeight="12456" activeTab="4" xr2:uid="{85E2ECD4-BDEB-45F2-89CE-AEFF6A8348B8}"/>
  </bookViews>
  <sheets>
    <sheet name="SampleSuperstore_100_Rows" sheetId="2" r:id="rId1"/>
    <sheet name="Sheet2" sheetId="3" r:id="rId2"/>
    <sheet name="Sheet3" sheetId="5" r:id="rId3"/>
    <sheet name="Sheet4" sheetId="6" r:id="rId4"/>
    <sheet name="Dashboard" sheetId="1" r:id="rId5"/>
  </sheets>
  <definedNames>
    <definedName name="ExternalData_1" localSheetId="0" hidden="1">SampleSuperstore_100_Rows!$A$1:$N$101</definedName>
  </definedNames>
  <calcPr calcId="191029"/>
  <pivotCaches>
    <pivotCache cacheId="6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" i="1" l="1"/>
  <c r="C4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C0FB1B0-185B-4A7B-81CE-EE4944EC8EEE}" keepAlive="1" name="Query - SampleSuperstore_100_Rows" description="Connection to the 'SampleSuperstore_100_Rows' query in the workbook." type="5" refreshedVersion="8" background="1" saveData="1">
    <dbPr connection="Provider=Microsoft.Mashup.OleDb.1;Data Source=$Workbook$;Location=SampleSuperstore_100_Rows;Extended Properties=&quot;&quot;" command="SELECT * FROM [SampleSuperstore_100_Rows]"/>
  </connection>
</connections>
</file>

<file path=xl/sharedStrings.xml><?xml version="1.0" encoding="utf-8"?>
<sst xmlns="http://schemas.openxmlformats.org/spreadsheetml/2006/main" count="844" uniqueCount="168">
  <si>
    <t>Row_ID</t>
  </si>
  <si>
    <t>Order_ID</t>
  </si>
  <si>
    <t>Order_Date</t>
  </si>
  <si>
    <t>Customer_Name</t>
  </si>
  <si>
    <t>Segment</t>
  </si>
  <si>
    <t>City</t>
  </si>
  <si>
    <t>State</t>
  </si>
  <si>
    <t>Category</t>
  </si>
  <si>
    <t>Sub_Category</t>
  </si>
  <si>
    <t>Sales</t>
  </si>
  <si>
    <t>Quantity</t>
  </si>
  <si>
    <t>Discount</t>
  </si>
  <si>
    <t>Profit</t>
  </si>
  <si>
    <t>Payment_Mode</t>
  </si>
  <si>
    <t>ORD-1001</t>
  </si>
  <si>
    <t>Riya Patel</t>
  </si>
  <si>
    <t>Home Office</t>
  </si>
  <si>
    <t>Delhi</t>
  </si>
  <si>
    <t>Office Supplies</t>
  </si>
  <si>
    <t>File Folder</t>
  </si>
  <si>
    <t>Cash</t>
  </si>
  <si>
    <t>ORD-1002</t>
  </si>
  <si>
    <t>Arjun Patel</t>
  </si>
  <si>
    <t>Consumer</t>
  </si>
  <si>
    <t>Bangalore</t>
  </si>
  <si>
    <t>Karnataka</t>
  </si>
  <si>
    <t>Technology</t>
  </si>
  <si>
    <t>Monitor</t>
  </si>
  <si>
    <t>Credit Card</t>
  </si>
  <si>
    <t>ORD-1003</t>
  </si>
  <si>
    <t>ORD-1004</t>
  </si>
  <si>
    <t>Mumbai</t>
  </si>
  <si>
    <t>Maharashtra</t>
  </si>
  <si>
    <t>Furniture</t>
  </si>
  <si>
    <t>Bookshelf</t>
  </si>
  <si>
    <t>ORD-1005</t>
  </si>
  <si>
    <t>Anaya Desai</t>
  </si>
  <si>
    <t>Pune</t>
  </si>
  <si>
    <t>ORD-1006</t>
  </si>
  <si>
    <t>Desk</t>
  </si>
  <si>
    <t>UPI</t>
  </si>
  <si>
    <t>ORD-1007</t>
  </si>
  <si>
    <t>Surat</t>
  </si>
  <si>
    <t>Gujarat</t>
  </si>
  <si>
    <t>Mouse</t>
  </si>
  <si>
    <t>Debit Card</t>
  </si>
  <si>
    <t>ORD-1008</t>
  </si>
  <si>
    <t>Myra Mehta</t>
  </si>
  <si>
    <t>Corporate</t>
  </si>
  <si>
    <t>Table</t>
  </si>
  <si>
    <t>ORD-1009</t>
  </si>
  <si>
    <t>Jaipur</t>
  </si>
  <si>
    <t>Rajasthan</t>
  </si>
  <si>
    <t>ORD-1010</t>
  </si>
  <si>
    <t>Kabir Mehta</t>
  </si>
  <si>
    <t>ORD-1011</t>
  </si>
  <si>
    <t>Ahmedabad</t>
  </si>
  <si>
    <t>Cabinet</t>
  </si>
  <si>
    <t>ORD-1012</t>
  </si>
  <si>
    <t>Notebook</t>
  </si>
  <si>
    <t>ORD-1013</t>
  </si>
  <si>
    <t>Diya Shah</t>
  </si>
  <si>
    <t>ORD-1014</t>
  </si>
  <si>
    <t>ORD-1015</t>
  </si>
  <si>
    <t>ORD-1016</t>
  </si>
  <si>
    <t>ORD-1017</t>
  </si>
  <si>
    <t>Pen Set</t>
  </si>
  <si>
    <t>ORD-1018</t>
  </si>
  <si>
    <t>Chennai</t>
  </si>
  <si>
    <t>Tamil Nadu</t>
  </si>
  <si>
    <t>ORD-1019</t>
  </si>
  <si>
    <t>ORD-1020</t>
  </si>
  <si>
    <t>Vivaan Joshi</t>
  </si>
  <si>
    <t>Keyboard</t>
  </si>
  <si>
    <t>ORD-1021</t>
  </si>
  <si>
    <t>ORD-1022</t>
  </si>
  <si>
    <t>ORD-1023</t>
  </si>
  <si>
    <t>Aarav Shah</t>
  </si>
  <si>
    <t>Printer</t>
  </si>
  <si>
    <t>ORD-1024</t>
  </si>
  <si>
    <t>ORD-1025</t>
  </si>
  <si>
    <t>ORD-1026</t>
  </si>
  <si>
    <t>ORD-1027</t>
  </si>
  <si>
    <t>ORD-1028</t>
  </si>
  <si>
    <t>Stapler</t>
  </si>
  <si>
    <t>ORD-1029</t>
  </si>
  <si>
    <t>ORD-1030</t>
  </si>
  <si>
    <t>ORD-1031</t>
  </si>
  <si>
    <t>ORD-1032</t>
  </si>
  <si>
    <t>Office Chair</t>
  </si>
  <si>
    <t>ORD-1033</t>
  </si>
  <si>
    <t>ORD-1034</t>
  </si>
  <si>
    <t>ORD-1035</t>
  </si>
  <si>
    <t>ORD-1036</t>
  </si>
  <si>
    <t>ORD-1037</t>
  </si>
  <si>
    <t>ORD-1038</t>
  </si>
  <si>
    <t>ORD-1039</t>
  </si>
  <si>
    <t>ORD-1040</t>
  </si>
  <si>
    <t>ORD-1041</t>
  </si>
  <si>
    <t>ORD-1042</t>
  </si>
  <si>
    <t>ORD-1043</t>
  </si>
  <si>
    <t>ORD-1044</t>
  </si>
  <si>
    <t>ORD-1045</t>
  </si>
  <si>
    <t>ORD-1046</t>
  </si>
  <si>
    <t>ORD-1047</t>
  </si>
  <si>
    <t>ORD-1048</t>
  </si>
  <si>
    <t>ORD-1049</t>
  </si>
  <si>
    <t>ORD-1050</t>
  </si>
  <si>
    <t>ORD-1051</t>
  </si>
  <si>
    <t>ORD-1052</t>
  </si>
  <si>
    <t>ORD-1053</t>
  </si>
  <si>
    <t>ORD-1054</t>
  </si>
  <si>
    <t>ORD-1055</t>
  </si>
  <si>
    <t>ORD-1056</t>
  </si>
  <si>
    <t>ORD-1057</t>
  </si>
  <si>
    <t>ORD-1058</t>
  </si>
  <si>
    <t>ORD-1059</t>
  </si>
  <si>
    <t>ORD-1060</t>
  </si>
  <si>
    <t>ORD-1061</t>
  </si>
  <si>
    <t>ORD-1062</t>
  </si>
  <si>
    <t>ORD-1063</t>
  </si>
  <si>
    <t>ORD-1064</t>
  </si>
  <si>
    <t>ORD-1065</t>
  </si>
  <si>
    <t>ORD-1066</t>
  </si>
  <si>
    <t>ORD-1067</t>
  </si>
  <si>
    <t>ORD-1068</t>
  </si>
  <si>
    <t>ORD-1069</t>
  </si>
  <si>
    <t>ORD-1070</t>
  </si>
  <si>
    <t>ORD-1071</t>
  </si>
  <si>
    <t>Laptop</t>
  </si>
  <si>
    <t>ORD-1072</t>
  </si>
  <si>
    <t>ORD-1073</t>
  </si>
  <si>
    <t>ORD-1074</t>
  </si>
  <si>
    <t>ORD-1075</t>
  </si>
  <si>
    <t>ORD-1076</t>
  </si>
  <si>
    <t>ORD-1077</t>
  </si>
  <si>
    <t>ORD-1078</t>
  </si>
  <si>
    <t>ORD-1079</t>
  </si>
  <si>
    <t>ORD-1080</t>
  </si>
  <si>
    <t>Paper</t>
  </si>
  <si>
    <t>ORD-1081</t>
  </si>
  <si>
    <t>ORD-1082</t>
  </si>
  <si>
    <t>ORD-1083</t>
  </si>
  <si>
    <t>ORD-1084</t>
  </si>
  <si>
    <t>ORD-1085</t>
  </si>
  <si>
    <t>ORD-1086</t>
  </si>
  <si>
    <t>ORD-1087</t>
  </si>
  <si>
    <t>ORD-1088</t>
  </si>
  <si>
    <t>ORD-1089</t>
  </si>
  <si>
    <t>ORD-1090</t>
  </si>
  <si>
    <t>ORD-1091</t>
  </si>
  <si>
    <t>ORD-1092</t>
  </si>
  <si>
    <t>ORD-1093</t>
  </si>
  <si>
    <t>ORD-1094</t>
  </si>
  <si>
    <t>ORD-1095</t>
  </si>
  <si>
    <t>ORD-1096</t>
  </si>
  <si>
    <t>ORD-1097</t>
  </si>
  <si>
    <t>ORD-1098</t>
  </si>
  <si>
    <t>ORD-1099</t>
  </si>
  <si>
    <t>ORD-1100</t>
  </si>
  <si>
    <t>Sum of Sales</t>
  </si>
  <si>
    <t>Row Labels</t>
  </si>
  <si>
    <t>Grand Total</t>
  </si>
  <si>
    <t>Sum of Profit</t>
  </si>
  <si>
    <t>SUPERSTORE  SALES DASHBOARD</t>
  </si>
  <si>
    <t>Total Sales</t>
  </si>
  <si>
    <t>Total Profit</t>
  </si>
  <si>
    <t>Finding: The chart shows the five ║ ║ sub-categories with the highest profit.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</si>
</sst>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" fontId="0" fillId="0" borderId="0" xfId="0" applyNumberFormat="1"/>
    <xf numFmtId="0" fontId="0" fillId="0" borderId="0" xfId="0" applyNumberFormat="1"/>
    <xf numFmtId="0" fontId="0" fillId="2" borderId="0" xfId="0" applyFill="1" applyAlignment="1">
      <alignment horizontal="left"/>
    </xf>
    <xf numFmtId="1" fontId="0" fillId="2" borderId="0" xfId="0" applyNumberFormat="1" applyFill="1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/>
  </cellXfs>
  <cellStyles count="1">
    <cellStyle name="Normal" xfId="0" builtinId="0"/>
  </cellStyles>
  <dxfs count="1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1" formatCode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[Assignment(Das)_10.xlsx]Sheet3!PivotTable2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By</a:t>
            </a:r>
            <a:r>
              <a:rPr lang="en-US" baseline="0"/>
              <a:t> Category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Sheet3!$B$3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Sheet3!$A$4:$A$7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Sheet3!$B$4:$B$7</c:f>
              <c:numCache>
                <c:formatCode>General</c:formatCode>
                <c:ptCount val="3"/>
                <c:pt idx="0">
                  <c:v>279115.99</c:v>
                </c:pt>
                <c:pt idx="1">
                  <c:v>192167.39</c:v>
                </c:pt>
                <c:pt idx="2">
                  <c:v>264208.26999999996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949-46A6-A095-A2B97AD8C7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573365152"/>
        <c:axId val="1169276624"/>
      </c:barChart>
      <c:catAx>
        <c:axId val="157336515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9276624"/>
        <c:crosses val="autoZero"/>
        <c:auto val="1"/>
        <c:lblAlgn val="ctr"/>
        <c:lblOffset val="100"/>
        <c:noMultiLvlLbl val="0"/>
      </c:catAx>
      <c:valAx>
        <c:axId val="11692766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33651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[Assignment(Das)_10.xlsx]Sheet4!PivotTable3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5 PROFITABLE SUB-CATAGORIES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Sheet4!$B$3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Sheet4!$A$4:$A$9</c:f>
              <c:strCache>
                <c:ptCount val="5"/>
                <c:pt idx="0">
                  <c:v>Keyboard</c:v>
                </c:pt>
                <c:pt idx="1">
                  <c:v>Table</c:v>
                </c:pt>
                <c:pt idx="2">
                  <c:v>Office Chair</c:v>
                </c:pt>
                <c:pt idx="3">
                  <c:v>Bookshelf</c:v>
                </c:pt>
                <c:pt idx="4">
                  <c:v>Notebook</c:v>
                </c:pt>
              </c:strCache>
            </c:strRef>
          </c:cat>
          <c:val>
            <c:numRef>
              <c:f>Sheet4!$B$4:$B$9</c:f>
              <c:numCache>
                <c:formatCode>General</c:formatCode>
                <c:ptCount val="5"/>
                <c:pt idx="0">
                  <c:v>9817.9500000000007</c:v>
                </c:pt>
                <c:pt idx="1">
                  <c:v>9351.98</c:v>
                </c:pt>
                <c:pt idx="2">
                  <c:v>8721.8499999999985</c:v>
                </c:pt>
                <c:pt idx="3">
                  <c:v>7569.13</c:v>
                </c:pt>
                <c:pt idx="4">
                  <c:v>6682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F9F-4A97-8DD4-16E8F009E1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573365152"/>
        <c:axId val="1169276624"/>
      </c:barChart>
      <c:catAx>
        <c:axId val="157336515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9276624"/>
        <c:crosses val="autoZero"/>
        <c:auto val="1"/>
        <c:lblAlgn val="ctr"/>
        <c:lblOffset val="100"/>
        <c:noMultiLvlLbl val="0"/>
      </c:catAx>
      <c:valAx>
        <c:axId val="11692766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3365152"/>
        <c:crosses val="autoZero"/>
        <c:crossBetween val="between"/>
      </c:valAx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By</a:t>
            </a:r>
            <a:r>
              <a:rPr lang="en-US" baseline="0"/>
              <a:t> Category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Dashboard!$A$3:$C$3</c:f>
              <c:strCache>
                <c:ptCount val="3"/>
                <c:pt idx="0">
                  <c:v>Total Sales</c:v>
                </c:pt>
                <c:pt idx="2">
                  <c:v>Total Profit</c:v>
                </c:pt>
              </c:strCache>
            </c:strRef>
          </c:cat>
          <c:val>
            <c:numRef>
              <c:f>Dashboard!$A$4:$C$4</c:f>
              <c:numCache>
                <c:formatCode>General</c:formatCode>
                <c:ptCount val="3"/>
                <c:pt idx="0">
                  <c:v>232670.34999999998</c:v>
                </c:pt>
                <c:pt idx="2">
                  <c:v>60929.899999999987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F28-4561-BEA9-7D53F6B969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50226368"/>
        <c:axId val="1169339024"/>
      </c:barChart>
      <c:catAx>
        <c:axId val="16502263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9339024"/>
        <c:crosses val="autoZero"/>
        <c:auto val="1"/>
        <c:lblAlgn val="ctr"/>
        <c:lblOffset val="100"/>
        <c:noMultiLvlLbl val="0"/>
      </c:catAx>
      <c:valAx>
        <c:axId val="11693390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02263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[Assignment(Das)_10.xlsx]Sheet3!PivotTable2</c:name>
    <c:fmtId val="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By</a:t>
            </a:r>
            <a:r>
              <a:rPr lang="en-US" baseline="0"/>
              <a:t> Category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Sheet3!$B$3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Sheet3!$A$4:$A$7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Sheet3!$B$4:$B$7</c:f>
              <c:numCache>
                <c:formatCode>General</c:formatCode>
                <c:ptCount val="3"/>
                <c:pt idx="0">
                  <c:v>279115.99</c:v>
                </c:pt>
                <c:pt idx="1">
                  <c:v>192167.39</c:v>
                </c:pt>
                <c:pt idx="2">
                  <c:v>264208.26999999996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375-41D2-A0D2-17DBA7B5EB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573365152"/>
        <c:axId val="1169276624"/>
      </c:barChart>
      <c:catAx>
        <c:axId val="157336515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9276624"/>
        <c:crosses val="autoZero"/>
        <c:auto val="1"/>
        <c:lblAlgn val="ctr"/>
        <c:lblOffset val="100"/>
        <c:noMultiLvlLbl val="0"/>
      </c:catAx>
      <c:valAx>
        <c:axId val="11692766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33651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[Assignment(Das)_10.xlsx]Sheet3!PivotTable2</c:name>
    <c:fmtId val="1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By</a:t>
            </a:r>
            <a:r>
              <a:rPr lang="en-US" baseline="0"/>
              <a:t> Category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Sheet3!$B$3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Sheet3!$A$4:$A$7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Sheet3!$B$4:$B$7</c:f>
              <c:numCache>
                <c:formatCode>General</c:formatCode>
                <c:ptCount val="3"/>
                <c:pt idx="0">
                  <c:v>279115.99</c:v>
                </c:pt>
                <c:pt idx="1">
                  <c:v>192167.39</c:v>
                </c:pt>
                <c:pt idx="2">
                  <c:v>264208.26999999996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81C-4354-8B7E-E1A6AD6D01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573365152"/>
        <c:axId val="1169276624"/>
      </c:barChart>
      <c:catAx>
        <c:axId val="157336515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9276624"/>
        <c:crosses val="autoZero"/>
        <c:auto val="1"/>
        <c:lblAlgn val="ctr"/>
        <c:lblOffset val="100"/>
        <c:noMultiLvlLbl val="0"/>
      </c:catAx>
      <c:valAx>
        <c:axId val="11692766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33651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220980</xdr:colOff>
      <xdr:row>7</xdr:row>
      <xdr:rowOff>72390</xdr:rowOff>
    </xdr:from>
    <xdr:to>
      <xdr:col>7</xdr:col>
      <xdr:colOff>53340</xdr:colOff>
      <xdr:row>22</xdr:row>
      <xdr:rowOff>72390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F65ECC9-6C8B-AED3-7DB1-F7AACD74D84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9</xdr:row>
      <xdr:rowOff>179070</xdr:rowOff>
    </xdr:from>
    <xdr:to>
      <xdr:col>6</xdr:col>
      <xdr:colOff>487680</xdr:colOff>
      <xdr:row>24</xdr:row>
      <xdr:rowOff>179070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D95622C-C4A4-0DCB-8207-8FAA0DBFB23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4</xdr:row>
      <xdr:rowOff>156210</xdr:rowOff>
    </xdr:from>
    <xdr:to>
      <xdr:col>4</xdr:col>
      <xdr:colOff>335280</xdr:colOff>
      <xdr:row>19</xdr:row>
      <xdr:rowOff>156210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EDDC66F-1A12-A0F8-03BD-97933CF8841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1</xdr:row>
      <xdr:rowOff>0</xdr:rowOff>
    </xdr:from>
    <xdr:to>
      <xdr:col>13</xdr:col>
      <xdr:colOff>304800</xdr:colOff>
      <xdr:row>15</xdr:row>
      <xdr:rowOff>91440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8AC3716-DF20-4C5D-BB68-DD27D6084A7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0</xdr:colOff>
      <xdr:row>18</xdr:row>
      <xdr:rowOff>0</xdr:rowOff>
    </xdr:from>
    <xdr:to>
      <xdr:col>13</xdr:col>
      <xdr:colOff>304800</xdr:colOff>
      <xdr:row>33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45EFCD1-3E36-4DD1-B71E-2085516C898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OLLY" refreshedDate="46296.632534259261" createdVersion="8" refreshedVersion="8" minRefreshableVersion="3" recordCount="100" xr:uid="{466009C9-D706-44CE-BF4B-F007EBD875B8}">
  <cacheSource type="worksheet">
    <worksheetSource name="SampleSuperstore_100_Rows"/>
  </cacheSource>
  <cacheFields count="14">
    <cacheField name="Row_ID" numFmtId="0">
      <sharedItems containsSemiMixedTypes="0" containsString="0" containsNumber="1" containsInteger="1" minValue="1" maxValue="100"/>
    </cacheField>
    <cacheField name="Order_ID" numFmtId="0">
      <sharedItems/>
    </cacheField>
    <cacheField name="Order_Date" numFmtId="14">
      <sharedItems containsSemiMixedTypes="0" containsNonDate="0" containsDate="1" containsString="0" minDate="2025-01-05T00:00:00" maxDate="2025-12-27T00:00:00"/>
    </cacheField>
    <cacheField name="Customer_Name" numFmtId="0">
      <sharedItems/>
    </cacheField>
    <cacheField name="Segment" numFmtId="0">
      <sharedItems/>
    </cacheField>
    <cacheField name="City" numFmtId="0">
      <sharedItems count="8">
        <s v="Delhi"/>
        <s v="Bangalore"/>
        <s v="Mumbai"/>
        <s v="Pune"/>
        <s v="Surat"/>
        <s v="Jaipur"/>
        <s v="Ahmedabad"/>
        <s v="Chennai"/>
      </sharedItems>
    </cacheField>
    <cacheField name="State" numFmtId="0">
      <sharedItems/>
    </cacheField>
    <cacheField name="Category" numFmtId="0">
      <sharedItems count="3">
        <s v="Office Supplies"/>
        <s v="Technology"/>
        <s v="Furniture"/>
      </sharedItems>
    </cacheField>
    <cacheField name="Sub_Category" numFmtId="0">
      <sharedItems count="15">
        <s v="File Folder"/>
        <s v="Monitor"/>
        <s v="Bookshelf"/>
        <s v="Desk"/>
        <s v="Mouse"/>
        <s v="Table"/>
        <s v="Cabinet"/>
        <s v="Notebook"/>
        <s v="Pen Set"/>
        <s v="Keyboard"/>
        <s v="Printer"/>
        <s v="Stapler"/>
        <s v="Office Chair"/>
        <s v="Laptop"/>
        <s v="Paper"/>
      </sharedItems>
    </cacheField>
    <cacheField name="Sales" numFmtId="0">
      <sharedItems containsSemiMixedTypes="0" containsString="0" containsNumber="1" minValue="306.42" maxValue="14961.9"/>
    </cacheField>
    <cacheField name="Quantity" numFmtId="0">
      <sharedItems containsSemiMixedTypes="0" containsString="0" containsNumber="1" containsInteger="1" minValue="1" maxValue="8"/>
    </cacheField>
    <cacheField name="Discount" numFmtId="0">
      <sharedItems containsSemiMixedTypes="0" containsString="0" containsNumber="1" minValue="0" maxValue="0.2"/>
    </cacheField>
    <cacheField name="Profit" numFmtId="0">
      <sharedItems containsSemiMixedTypes="0" containsString="0" containsNumber="1" minValue="-1608.22" maxValue="4108.45"/>
    </cacheField>
    <cacheField name="Payment_Mode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">
  <r>
    <n v="1"/>
    <s v="ORD-1001"/>
    <d v="2025-02-22T00:00:00"/>
    <s v="Riya Patel"/>
    <s v="Home Office"/>
    <x v="0"/>
    <s v="Delhi"/>
    <x v="0"/>
    <x v="0"/>
    <n v="570.16"/>
    <n v="2"/>
    <n v="0.1"/>
    <n v="-22.69"/>
    <s v="Cash"/>
  </r>
  <r>
    <n v="2"/>
    <s v="ORD-1002"/>
    <d v="2025-11-29T00:00:00"/>
    <s v="Arjun Patel"/>
    <s v="Consumer"/>
    <x v="1"/>
    <s v="Karnataka"/>
    <x v="1"/>
    <x v="1"/>
    <n v="3435.84"/>
    <n v="2"/>
    <n v="0.2"/>
    <n v="415.42"/>
    <s v="Credit Card"/>
  </r>
  <r>
    <n v="3"/>
    <s v="ORD-1003"/>
    <d v="2025-06-22T00:00:00"/>
    <s v="Riya Patel"/>
    <s v="Consumer"/>
    <x v="1"/>
    <s v="Karnataka"/>
    <x v="1"/>
    <x v="1"/>
    <n v="10532.46"/>
    <n v="3"/>
    <n v="0.1"/>
    <n v="-262.87"/>
    <s v="Cash"/>
  </r>
  <r>
    <n v="4"/>
    <s v="ORD-1004"/>
    <d v="2025-07-13T00:00:00"/>
    <s v="Riya Patel"/>
    <s v="Home Office"/>
    <x v="2"/>
    <s v="Maharashtra"/>
    <x v="2"/>
    <x v="2"/>
    <n v="9135.15"/>
    <n v="6"/>
    <n v="0"/>
    <n v="1629.52"/>
    <s v="Credit Card"/>
  </r>
  <r>
    <n v="5"/>
    <s v="ORD-1005"/>
    <d v="2025-02-10T00:00:00"/>
    <s v="Anaya Desai"/>
    <s v="Consumer"/>
    <x v="3"/>
    <s v="Maharashtra"/>
    <x v="0"/>
    <x v="0"/>
    <n v="10627.66"/>
    <n v="4"/>
    <n v="0"/>
    <n v="1568.31"/>
    <s v="Credit Card"/>
  </r>
  <r>
    <n v="6"/>
    <s v="ORD-1006"/>
    <d v="2025-12-26T00:00:00"/>
    <s v="Riya Patel"/>
    <s v="Home Office"/>
    <x v="3"/>
    <s v="Maharashtra"/>
    <x v="2"/>
    <x v="3"/>
    <n v="2607.2800000000002"/>
    <n v="6"/>
    <n v="0.1"/>
    <n v="-145.28"/>
    <s v="UPI"/>
  </r>
  <r>
    <n v="7"/>
    <s v="ORD-1007"/>
    <d v="2025-01-29T00:00:00"/>
    <s v="Anaya Desai"/>
    <s v="Consumer"/>
    <x v="4"/>
    <s v="Gujarat"/>
    <x v="1"/>
    <x v="4"/>
    <n v="5815.94"/>
    <n v="8"/>
    <n v="0.2"/>
    <n v="-297.62"/>
    <s v="Debit Card"/>
  </r>
  <r>
    <n v="8"/>
    <s v="ORD-1008"/>
    <d v="2025-04-19T00:00:00"/>
    <s v="Myra Mehta"/>
    <s v="Corporate"/>
    <x v="4"/>
    <s v="Gujarat"/>
    <x v="2"/>
    <x v="5"/>
    <n v="3322.55"/>
    <n v="2"/>
    <n v="0.2"/>
    <n v="811.92"/>
    <s v="UPI"/>
  </r>
  <r>
    <n v="9"/>
    <s v="ORD-1009"/>
    <d v="2025-10-26T00:00:00"/>
    <s v="Arjun Patel"/>
    <s v="Corporate"/>
    <x v="5"/>
    <s v="Rajasthan"/>
    <x v="2"/>
    <x v="3"/>
    <n v="3850.09"/>
    <n v="3"/>
    <n v="0.2"/>
    <n v="356.29"/>
    <s v="UPI"/>
  </r>
  <r>
    <n v="10"/>
    <s v="ORD-1010"/>
    <d v="2025-11-18T00:00:00"/>
    <s v="Kabir Mehta"/>
    <s v="Home Office"/>
    <x v="0"/>
    <s v="Delhi"/>
    <x v="0"/>
    <x v="0"/>
    <n v="1545.46"/>
    <n v="8"/>
    <n v="0"/>
    <n v="367.04"/>
    <s v="Cash"/>
  </r>
  <r>
    <n v="11"/>
    <s v="ORD-1011"/>
    <d v="2025-12-15T00:00:00"/>
    <s v="Riya Patel"/>
    <s v="Home Office"/>
    <x v="6"/>
    <s v="Gujarat"/>
    <x v="2"/>
    <x v="6"/>
    <n v="9019.15"/>
    <n v="7"/>
    <n v="0.15"/>
    <n v="794.6"/>
    <s v="Credit Card"/>
  </r>
  <r>
    <n v="12"/>
    <s v="ORD-1012"/>
    <d v="2025-05-15T00:00:00"/>
    <s v="Kabir Mehta"/>
    <s v="Home Office"/>
    <x v="6"/>
    <s v="Gujarat"/>
    <x v="0"/>
    <x v="7"/>
    <n v="1850.97"/>
    <n v="6"/>
    <n v="0.15"/>
    <n v="-145.91"/>
    <s v="Credit Card"/>
  </r>
  <r>
    <n v="13"/>
    <s v="ORD-1013"/>
    <d v="2025-11-03T00:00:00"/>
    <s v="Diya Shah"/>
    <s v="Corporate"/>
    <x v="6"/>
    <s v="Gujarat"/>
    <x v="0"/>
    <x v="7"/>
    <n v="2462.02"/>
    <n v="4"/>
    <n v="0.05"/>
    <n v="228.28"/>
    <s v="Cash"/>
  </r>
  <r>
    <n v="14"/>
    <s v="ORD-1014"/>
    <d v="2025-02-13T00:00:00"/>
    <s v="Myra Mehta"/>
    <s v="Consumer"/>
    <x v="2"/>
    <s v="Maharashtra"/>
    <x v="2"/>
    <x v="6"/>
    <n v="3743.89"/>
    <n v="5"/>
    <n v="0.05"/>
    <n v="917.64"/>
    <s v="UPI"/>
  </r>
  <r>
    <n v="15"/>
    <s v="ORD-1015"/>
    <d v="2025-04-19T00:00:00"/>
    <s v="Anaya Desai"/>
    <s v="Home Office"/>
    <x v="5"/>
    <s v="Rajasthan"/>
    <x v="1"/>
    <x v="4"/>
    <n v="14213.36"/>
    <n v="8"/>
    <n v="0.05"/>
    <n v="-436.7"/>
    <s v="Debit Card"/>
  </r>
  <r>
    <n v="16"/>
    <s v="ORD-1016"/>
    <d v="2025-04-26T00:00:00"/>
    <s v="Riya Patel"/>
    <s v="Corporate"/>
    <x v="1"/>
    <s v="Karnataka"/>
    <x v="0"/>
    <x v="7"/>
    <n v="6683.88"/>
    <n v="6"/>
    <n v="0.2"/>
    <n v="355.37"/>
    <s v="UPI"/>
  </r>
  <r>
    <n v="17"/>
    <s v="ORD-1017"/>
    <d v="2025-06-19T00:00:00"/>
    <s v="Riya Patel"/>
    <s v="Home Office"/>
    <x v="6"/>
    <s v="Gujarat"/>
    <x v="0"/>
    <x v="8"/>
    <n v="306.42"/>
    <n v="4"/>
    <n v="0"/>
    <n v="-14.39"/>
    <s v="Credit Card"/>
  </r>
  <r>
    <n v="18"/>
    <s v="ORD-1018"/>
    <d v="2025-05-05T00:00:00"/>
    <s v="Myra Mehta"/>
    <s v="Corporate"/>
    <x v="7"/>
    <s v="Tamil Nadu"/>
    <x v="0"/>
    <x v="8"/>
    <n v="3370.7"/>
    <n v="8"/>
    <n v="0.05"/>
    <n v="591.59"/>
    <s v="Cash"/>
  </r>
  <r>
    <n v="19"/>
    <s v="ORD-1019"/>
    <d v="2025-12-11T00:00:00"/>
    <s v="Riya Patel"/>
    <s v="Consumer"/>
    <x v="6"/>
    <s v="Gujarat"/>
    <x v="1"/>
    <x v="1"/>
    <n v="5443.6"/>
    <n v="7"/>
    <n v="0.15"/>
    <n v="327.49"/>
    <s v="Credit Card"/>
  </r>
  <r>
    <n v="20"/>
    <s v="ORD-1020"/>
    <d v="2025-04-04T00:00:00"/>
    <s v="Vivaan Joshi"/>
    <s v="Corporate"/>
    <x v="5"/>
    <s v="Rajasthan"/>
    <x v="1"/>
    <x v="9"/>
    <n v="3035.53"/>
    <n v="4"/>
    <n v="0.2"/>
    <n v="157.47"/>
    <s v="Cash"/>
  </r>
  <r>
    <n v="21"/>
    <s v="ORD-1021"/>
    <d v="2025-05-02T00:00:00"/>
    <s v="Kabir Mehta"/>
    <s v="Corporate"/>
    <x v="2"/>
    <s v="Maharashtra"/>
    <x v="2"/>
    <x v="5"/>
    <n v="948.71"/>
    <n v="2"/>
    <n v="0.2"/>
    <n v="214.61"/>
    <s v="Debit Card"/>
  </r>
  <r>
    <n v="22"/>
    <s v="ORD-1022"/>
    <d v="2025-05-16T00:00:00"/>
    <s v="Myra Mehta"/>
    <s v="Corporate"/>
    <x v="5"/>
    <s v="Rajasthan"/>
    <x v="1"/>
    <x v="1"/>
    <n v="13556.15"/>
    <n v="7"/>
    <n v="0.05"/>
    <n v="278.41000000000003"/>
    <s v="Debit Card"/>
  </r>
  <r>
    <n v="23"/>
    <s v="ORD-1023"/>
    <d v="2025-06-10T00:00:00"/>
    <s v="Aarav Shah"/>
    <s v="Consumer"/>
    <x v="6"/>
    <s v="Gujarat"/>
    <x v="1"/>
    <x v="10"/>
    <n v="4591.28"/>
    <n v="4"/>
    <n v="0"/>
    <n v="507.94"/>
    <s v="Debit Card"/>
  </r>
  <r>
    <n v="24"/>
    <s v="ORD-1024"/>
    <d v="2025-02-05T00:00:00"/>
    <s v="Riya Patel"/>
    <s v="Home Office"/>
    <x v="0"/>
    <s v="Delhi"/>
    <x v="0"/>
    <x v="8"/>
    <n v="1041.82"/>
    <n v="3"/>
    <n v="0.2"/>
    <n v="-118.72"/>
    <s v="Debit Card"/>
  </r>
  <r>
    <n v="25"/>
    <s v="ORD-1025"/>
    <d v="2025-12-03T00:00:00"/>
    <s v="Diya Shah"/>
    <s v="Corporate"/>
    <x v="5"/>
    <s v="Rajasthan"/>
    <x v="1"/>
    <x v="9"/>
    <n v="8768"/>
    <n v="4"/>
    <n v="0"/>
    <n v="1128.6300000000001"/>
    <s v="Credit Card"/>
  </r>
  <r>
    <n v="26"/>
    <s v="ORD-1026"/>
    <d v="2025-01-05T00:00:00"/>
    <s v="Myra Mehta"/>
    <s v="Home Office"/>
    <x v="2"/>
    <s v="Maharashtra"/>
    <x v="1"/>
    <x v="10"/>
    <n v="6057.63"/>
    <n v="5"/>
    <n v="0.1"/>
    <n v="337.72"/>
    <s v="Cash"/>
  </r>
  <r>
    <n v="27"/>
    <s v="ORD-1027"/>
    <d v="2025-05-06T00:00:00"/>
    <s v="Diya Shah"/>
    <s v="Corporate"/>
    <x v="2"/>
    <s v="Maharashtra"/>
    <x v="1"/>
    <x v="9"/>
    <n v="7687.09"/>
    <n v="4"/>
    <n v="0.05"/>
    <n v="2075.2600000000002"/>
    <s v="Debit Card"/>
  </r>
  <r>
    <n v="28"/>
    <s v="ORD-1028"/>
    <d v="2025-12-06T00:00:00"/>
    <s v="Riya Patel"/>
    <s v="Consumer"/>
    <x v="3"/>
    <s v="Maharashtra"/>
    <x v="0"/>
    <x v="11"/>
    <n v="9252.83"/>
    <n v="5"/>
    <n v="0.2"/>
    <n v="-1355.35"/>
    <s v="Cash"/>
  </r>
  <r>
    <n v="29"/>
    <s v="ORD-1029"/>
    <d v="2025-04-15T00:00:00"/>
    <s v="Vivaan Joshi"/>
    <s v="Home Office"/>
    <x v="4"/>
    <s v="Gujarat"/>
    <x v="1"/>
    <x v="1"/>
    <n v="4230.75"/>
    <n v="3"/>
    <n v="0.2"/>
    <n v="-233.61"/>
    <s v="Credit Card"/>
  </r>
  <r>
    <n v="30"/>
    <s v="ORD-1030"/>
    <d v="2025-03-08T00:00:00"/>
    <s v="Vivaan Joshi"/>
    <s v="Consumer"/>
    <x v="4"/>
    <s v="Gujarat"/>
    <x v="1"/>
    <x v="1"/>
    <n v="9587.41"/>
    <n v="2"/>
    <n v="0.1"/>
    <n v="-1247.9100000000001"/>
    <s v="Debit Card"/>
  </r>
  <r>
    <n v="31"/>
    <s v="ORD-1031"/>
    <d v="2025-10-26T00:00:00"/>
    <s v="Kabir Mehta"/>
    <s v="Corporate"/>
    <x v="4"/>
    <s v="Gujarat"/>
    <x v="0"/>
    <x v="8"/>
    <n v="1855.73"/>
    <n v="1"/>
    <n v="0.05"/>
    <n v="177.25"/>
    <s v="Cash"/>
  </r>
  <r>
    <n v="32"/>
    <s v="ORD-1032"/>
    <d v="2025-12-16T00:00:00"/>
    <s v="Anaya Desai"/>
    <s v="Home Office"/>
    <x v="1"/>
    <s v="Karnataka"/>
    <x v="2"/>
    <x v="12"/>
    <n v="13504.93"/>
    <n v="6"/>
    <n v="0"/>
    <n v="3437.22"/>
    <s v="Credit Card"/>
  </r>
  <r>
    <n v="33"/>
    <s v="ORD-1033"/>
    <d v="2025-03-25T00:00:00"/>
    <s v="Kabir Mehta"/>
    <s v="Corporate"/>
    <x v="1"/>
    <s v="Karnataka"/>
    <x v="0"/>
    <x v="7"/>
    <n v="14612.79"/>
    <n v="7"/>
    <n v="0.05"/>
    <n v="3895.68"/>
    <s v="UPI"/>
  </r>
  <r>
    <n v="34"/>
    <s v="ORD-1034"/>
    <d v="2025-05-17T00:00:00"/>
    <s v="Kabir Mehta"/>
    <s v="Home Office"/>
    <x v="1"/>
    <s v="Karnataka"/>
    <x v="0"/>
    <x v="7"/>
    <n v="11779.32"/>
    <n v="6"/>
    <n v="0.15"/>
    <n v="2485.5"/>
    <s v="Debit Card"/>
  </r>
  <r>
    <n v="35"/>
    <s v="ORD-1035"/>
    <d v="2025-04-25T00:00:00"/>
    <s v="Aarav Shah"/>
    <s v="Home Office"/>
    <x v="1"/>
    <s v="Karnataka"/>
    <x v="1"/>
    <x v="9"/>
    <n v="3492.02"/>
    <n v="8"/>
    <n v="0.15"/>
    <n v="25.65"/>
    <s v="Debit Card"/>
  </r>
  <r>
    <n v="36"/>
    <s v="ORD-1036"/>
    <d v="2025-12-14T00:00:00"/>
    <s v="Diya Shah"/>
    <s v="Consumer"/>
    <x v="5"/>
    <s v="Rajasthan"/>
    <x v="2"/>
    <x v="12"/>
    <n v="12992.42"/>
    <n v="5"/>
    <n v="0.1"/>
    <n v="104.14"/>
    <s v="Credit Card"/>
  </r>
  <r>
    <n v="37"/>
    <s v="ORD-1037"/>
    <d v="2025-08-12T00:00:00"/>
    <s v="Riya Patel"/>
    <s v="Corporate"/>
    <x v="4"/>
    <s v="Gujarat"/>
    <x v="1"/>
    <x v="10"/>
    <n v="766.21"/>
    <n v="5"/>
    <n v="0.2"/>
    <n v="34.9"/>
    <s v="UPI"/>
  </r>
  <r>
    <n v="38"/>
    <s v="ORD-1038"/>
    <d v="2025-07-06T00:00:00"/>
    <s v="Arjun Patel"/>
    <s v="Consumer"/>
    <x v="1"/>
    <s v="Karnataka"/>
    <x v="2"/>
    <x v="2"/>
    <n v="10690.02"/>
    <n v="1"/>
    <n v="0"/>
    <n v="897.58"/>
    <s v="Credit Card"/>
  </r>
  <r>
    <n v="39"/>
    <s v="ORD-1039"/>
    <d v="2025-06-17T00:00:00"/>
    <s v="Arjun Patel"/>
    <s v="Home Office"/>
    <x v="5"/>
    <s v="Rajasthan"/>
    <x v="0"/>
    <x v="11"/>
    <n v="10852.36"/>
    <n v="2"/>
    <n v="0.1"/>
    <n v="848.71"/>
    <s v="UPI"/>
  </r>
  <r>
    <n v="40"/>
    <s v="ORD-1040"/>
    <d v="2025-11-12T00:00:00"/>
    <s v="Vivaan Joshi"/>
    <s v="Corporate"/>
    <x v="0"/>
    <s v="Delhi"/>
    <x v="1"/>
    <x v="10"/>
    <n v="10040.959999999999"/>
    <n v="7"/>
    <n v="0.15"/>
    <n v="1554.27"/>
    <s v="Cash"/>
  </r>
  <r>
    <n v="41"/>
    <s v="ORD-1041"/>
    <d v="2025-08-27T00:00:00"/>
    <s v="Myra Mehta"/>
    <s v="Corporate"/>
    <x v="4"/>
    <s v="Gujarat"/>
    <x v="2"/>
    <x v="3"/>
    <n v="3310.7"/>
    <n v="5"/>
    <n v="0.2"/>
    <n v="407.21"/>
    <s v="Debit Card"/>
  </r>
  <r>
    <n v="42"/>
    <s v="ORD-1042"/>
    <d v="2025-02-17T00:00:00"/>
    <s v="Anaya Desai"/>
    <s v="Home Office"/>
    <x v="4"/>
    <s v="Gujarat"/>
    <x v="0"/>
    <x v="11"/>
    <n v="9950.99"/>
    <n v="3"/>
    <n v="0.1"/>
    <n v="815.52"/>
    <s v="UPI"/>
  </r>
  <r>
    <n v="43"/>
    <s v="ORD-1043"/>
    <d v="2025-08-22T00:00:00"/>
    <s v="Arjun Patel"/>
    <s v="Home Office"/>
    <x v="2"/>
    <s v="Maharashtra"/>
    <x v="1"/>
    <x v="10"/>
    <n v="561.5"/>
    <n v="3"/>
    <n v="0.05"/>
    <n v="164.39"/>
    <s v="UPI"/>
  </r>
  <r>
    <n v="44"/>
    <s v="ORD-1044"/>
    <d v="2025-02-24T00:00:00"/>
    <s v="Arjun Patel"/>
    <s v="Consumer"/>
    <x v="6"/>
    <s v="Gujarat"/>
    <x v="0"/>
    <x v="8"/>
    <n v="7516.78"/>
    <n v="7"/>
    <n v="0.05"/>
    <n v="-628.35"/>
    <s v="Debit Card"/>
  </r>
  <r>
    <n v="45"/>
    <s v="ORD-1045"/>
    <d v="2025-12-08T00:00:00"/>
    <s v="Diya Shah"/>
    <s v="Corporate"/>
    <x v="7"/>
    <s v="Tamil Nadu"/>
    <x v="1"/>
    <x v="10"/>
    <n v="13778.56"/>
    <n v="4"/>
    <n v="0"/>
    <n v="763.44"/>
    <s v="Debit Card"/>
  </r>
  <r>
    <n v="46"/>
    <s v="ORD-1046"/>
    <d v="2025-11-23T00:00:00"/>
    <s v="Vivaan Joshi"/>
    <s v="Home Office"/>
    <x v="1"/>
    <s v="Karnataka"/>
    <x v="0"/>
    <x v="0"/>
    <n v="13478.68"/>
    <n v="8"/>
    <n v="0.15"/>
    <n v="708.05"/>
    <s v="UPI"/>
  </r>
  <r>
    <n v="47"/>
    <s v="ORD-1047"/>
    <d v="2025-06-13T00:00:00"/>
    <s v="Riya Patel"/>
    <s v="Consumer"/>
    <x v="4"/>
    <s v="Gujarat"/>
    <x v="2"/>
    <x v="3"/>
    <n v="1346.75"/>
    <n v="8"/>
    <n v="0.1"/>
    <n v="-59.9"/>
    <s v="UPI"/>
  </r>
  <r>
    <n v="48"/>
    <s v="ORD-1048"/>
    <d v="2025-10-05T00:00:00"/>
    <s v="Myra Mehta"/>
    <s v="Corporate"/>
    <x v="4"/>
    <s v="Gujarat"/>
    <x v="2"/>
    <x v="12"/>
    <n v="10655"/>
    <n v="3"/>
    <n v="0"/>
    <n v="390.94"/>
    <s v="UPI"/>
  </r>
  <r>
    <n v="49"/>
    <s v="ORD-1049"/>
    <d v="2025-10-22T00:00:00"/>
    <s v="Arjun Patel"/>
    <s v="Corporate"/>
    <x v="6"/>
    <s v="Gujarat"/>
    <x v="2"/>
    <x v="12"/>
    <n v="13591.61"/>
    <n v="7"/>
    <n v="0.2"/>
    <n v="3747.59"/>
    <s v="Credit Card"/>
  </r>
  <r>
    <n v="50"/>
    <s v="ORD-1050"/>
    <d v="2025-09-07T00:00:00"/>
    <s v="Anaya Desai"/>
    <s v="Corporate"/>
    <x v="1"/>
    <s v="Karnataka"/>
    <x v="2"/>
    <x v="5"/>
    <n v="12831.03"/>
    <n v="7"/>
    <n v="0.15"/>
    <n v="1183.01"/>
    <s v="Debit Card"/>
  </r>
  <r>
    <n v="51"/>
    <s v="ORD-1051"/>
    <d v="2025-03-07T00:00:00"/>
    <s v="Aarav Shah"/>
    <s v="Corporate"/>
    <x v="7"/>
    <s v="Tamil Nadu"/>
    <x v="1"/>
    <x v="10"/>
    <n v="5174.72"/>
    <n v="7"/>
    <n v="0.15"/>
    <n v="910.14"/>
    <s v="Cash"/>
  </r>
  <r>
    <n v="52"/>
    <s v="ORD-1052"/>
    <d v="2025-07-14T00:00:00"/>
    <s v="Diya Shah"/>
    <s v="Consumer"/>
    <x v="3"/>
    <s v="Maharashtra"/>
    <x v="1"/>
    <x v="1"/>
    <n v="2208.35"/>
    <n v="7"/>
    <n v="0.15"/>
    <n v="-150.66"/>
    <s v="Credit Card"/>
  </r>
  <r>
    <n v="53"/>
    <s v="ORD-1053"/>
    <d v="2025-08-29T00:00:00"/>
    <s v="Aarav Shah"/>
    <s v="Home Office"/>
    <x v="2"/>
    <s v="Maharashtra"/>
    <x v="2"/>
    <x v="6"/>
    <n v="4318.2"/>
    <n v="7"/>
    <n v="0.15"/>
    <n v="-157.52000000000001"/>
    <s v="Cash"/>
  </r>
  <r>
    <n v="54"/>
    <s v="ORD-1054"/>
    <d v="2025-04-13T00:00:00"/>
    <s v="Aarav Shah"/>
    <s v="Home Office"/>
    <x v="1"/>
    <s v="Karnataka"/>
    <x v="2"/>
    <x v="3"/>
    <n v="9822.1299999999992"/>
    <n v="4"/>
    <n v="0"/>
    <n v="1860.36"/>
    <s v="UPI"/>
  </r>
  <r>
    <n v="55"/>
    <s v="ORD-1055"/>
    <d v="2025-12-25T00:00:00"/>
    <s v="Vivaan Joshi"/>
    <s v="Corporate"/>
    <x v="7"/>
    <s v="Tamil Nadu"/>
    <x v="1"/>
    <x v="9"/>
    <n v="10107.99"/>
    <n v="8"/>
    <n v="0.2"/>
    <n v="2794.76"/>
    <s v="Cash"/>
  </r>
  <r>
    <n v="56"/>
    <s v="ORD-1056"/>
    <d v="2025-07-23T00:00:00"/>
    <s v="Anaya Desai"/>
    <s v="Consumer"/>
    <x v="5"/>
    <s v="Rajasthan"/>
    <x v="1"/>
    <x v="10"/>
    <n v="1799.86"/>
    <n v="5"/>
    <n v="0"/>
    <n v="482.36"/>
    <s v="UPI"/>
  </r>
  <r>
    <n v="57"/>
    <s v="ORD-1057"/>
    <d v="2025-06-27T00:00:00"/>
    <s v="Arjun Patel"/>
    <s v="Home Office"/>
    <x v="6"/>
    <s v="Gujarat"/>
    <x v="1"/>
    <x v="4"/>
    <n v="12784.34"/>
    <n v="5"/>
    <n v="0.2"/>
    <n v="2716.51"/>
    <s v="Cash"/>
  </r>
  <r>
    <n v="58"/>
    <s v="ORD-1058"/>
    <d v="2025-08-10T00:00:00"/>
    <s v="Diya Shah"/>
    <s v="Home Office"/>
    <x v="2"/>
    <s v="Maharashtra"/>
    <x v="0"/>
    <x v="0"/>
    <n v="387.25"/>
    <n v="6"/>
    <n v="0.15"/>
    <n v="85.21"/>
    <s v="UPI"/>
  </r>
  <r>
    <n v="59"/>
    <s v="ORD-1059"/>
    <d v="2025-08-27T00:00:00"/>
    <s v="Arjun Patel"/>
    <s v="Home Office"/>
    <x v="7"/>
    <s v="Tamil Nadu"/>
    <x v="2"/>
    <x v="6"/>
    <n v="11060.17"/>
    <n v="3"/>
    <n v="0.1"/>
    <n v="1406.42"/>
    <s v="Credit Card"/>
  </r>
  <r>
    <n v="60"/>
    <s v="ORD-1060"/>
    <d v="2025-05-05T00:00:00"/>
    <s v="Myra Mehta"/>
    <s v="Home Office"/>
    <x v="7"/>
    <s v="Tamil Nadu"/>
    <x v="2"/>
    <x v="6"/>
    <n v="12494.82"/>
    <n v="4"/>
    <n v="0"/>
    <n v="-305.89999999999998"/>
    <s v="Debit Card"/>
  </r>
  <r>
    <n v="61"/>
    <s v="ORD-1061"/>
    <d v="2025-07-01T00:00:00"/>
    <s v="Vivaan Joshi"/>
    <s v="Corporate"/>
    <x v="1"/>
    <s v="Karnataka"/>
    <x v="2"/>
    <x v="2"/>
    <n v="7515.74"/>
    <n v="1"/>
    <n v="0.1"/>
    <n v="-512.36"/>
    <s v="Credit Card"/>
  </r>
  <r>
    <n v="62"/>
    <s v="ORD-1062"/>
    <d v="2025-09-08T00:00:00"/>
    <s v="Anaya Desai"/>
    <s v="Home Office"/>
    <x v="5"/>
    <s v="Rajasthan"/>
    <x v="0"/>
    <x v="0"/>
    <n v="7846.08"/>
    <n v="1"/>
    <n v="0.05"/>
    <n v="-874.64"/>
    <s v="Debit Card"/>
  </r>
  <r>
    <n v="63"/>
    <s v="ORD-1063"/>
    <d v="2025-06-06T00:00:00"/>
    <s v="Diya Shah"/>
    <s v="Corporate"/>
    <x v="1"/>
    <s v="Karnataka"/>
    <x v="2"/>
    <x v="6"/>
    <n v="1577.19"/>
    <n v="1"/>
    <n v="0.05"/>
    <n v="50.44"/>
    <s v="Credit Card"/>
  </r>
  <r>
    <n v="64"/>
    <s v="ORD-1064"/>
    <d v="2025-04-29T00:00:00"/>
    <s v="Riya Patel"/>
    <s v="Home Office"/>
    <x v="3"/>
    <s v="Maharashtra"/>
    <x v="2"/>
    <x v="3"/>
    <n v="5406.8"/>
    <n v="6"/>
    <n v="0.15"/>
    <n v="-151.86000000000001"/>
    <s v="Credit Card"/>
  </r>
  <r>
    <n v="65"/>
    <s v="ORD-1065"/>
    <d v="2025-02-21T00:00:00"/>
    <s v="Anaya Desai"/>
    <s v="Corporate"/>
    <x v="3"/>
    <s v="Maharashtra"/>
    <x v="1"/>
    <x v="9"/>
    <n v="3034.81"/>
    <n v="3"/>
    <n v="0.15"/>
    <n v="-77.62"/>
    <s v="Credit Card"/>
  </r>
  <r>
    <n v="66"/>
    <s v="ORD-1066"/>
    <d v="2025-01-28T00:00:00"/>
    <s v="Vivaan Joshi"/>
    <s v="Home Office"/>
    <x v="6"/>
    <s v="Gujarat"/>
    <x v="1"/>
    <x v="9"/>
    <n v="409.4"/>
    <n v="5"/>
    <n v="0.2"/>
    <n v="-38.090000000000003"/>
    <s v="Debit Card"/>
  </r>
  <r>
    <n v="67"/>
    <s v="ORD-1067"/>
    <d v="2025-04-05T00:00:00"/>
    <s v="Aarav Shah"/>
    <s v="Corporate"/>
    <x v="4"/>
    <s v="Gujarat"/>
    <x v="1"/>
    <x v="1"/>
    <n v="8696.15"/>
    <n v="1"/>
    <n v="0.15"/>
    <n v="568.91"/>
    <s v="Cash"/>
  </r>
  <r>
    <n v="68"/>
    <s v="ORD-1068"/>
    <d v="2025-03-19T00:00:00"/>
    <s v="Kabir Mehta"/>
    <s v="Home Office"/>
    <x v="6"/>
    <s v="Gujarat"/>
    <x v="1"/>
    <x v="4"/>
    <n v="7477.85"/>
    <n v="7"/>
    <n v="0.2"/>
    <n v="996.43"/>
    <s v="Cash"/>
  </r>
  <r>
    <n v="69"/>
    <s v="ORD-1069"/>
    <d v="2025-09-25T00:00:00"/>
    <s v="Arjun Patel"/>
    <s v="Corporate"/>
    <x v="1"/>
    <s v="Karnataka"/>
    <x v="1"/>
    <x v="1"/>
    <n v="8459.48"/>
    <n v="2"/>
    <n v="0.15"/>
    <n v="1039.19"/>
    <s v="Credit Card"/>
  </r>
  <r>
    <n v="70"/>
    <s v="ORD-1070"/>
    <d v="2025-04-17T00:00:00"/>
    <s v="Anaya Desai"/>
    <s v="Corporate"/>
    <x v="2"/>
    <s v="Maharashtra"/>
    <x v="0"/>
    <x v="7"/>
    <n v="4719.63"/>
    <n v="7"/>
    <n v="0.2"/>
    <n v="-580.03"/>
    <s v="UPI"/>
  </r>
  <r>
    <n v="71"/>
    <s v="ORD-1071"/>
    <d v="2025-12-19T00:00:00"/>
    <s v="Myra Mehta"/>
    <s v="Corporate"/>
    <x v="7"/>
    <s v="Tamil Nadu"/>
    <x v="1"/>
    <x v="13"/>
    <n v="8369.49"/>
    <n v="3"/>
    <n v="0.05"/>
    <n v="-1245.3499999999999"/>
    <s v="UPI"/>
  </r>
  <r>
    <n v="72"/>
    <s v="ORD-1072"/>
    <d v="2025-05-16T00:00:00"/>
    <s v="Anaya Desai"/>
    <s v="Corporate"/>
    <x v="1"/>
    <s v="Karnataka"/>
    <x v="2"/>
    <x v="12"/>
    <n v="10604.22"/>
    <n v="5"/>
    <n v="0.15"/>
    <n v="-1250.97"/>
    <s v="UPI"/>
  </r>
  <r>
    <n v="73"/>
    <s v="ORD-1073"/>
    <d v="2025-06-07T00:00:00"/>
    <s v="Vivaan Joshi"/>
    <s v="Corporate"/>
    <x v="0"/>
    <s v="Delhi"/>
    <x v="0"/>
    <x v="7"/>
    <n v="13644.49"/>
    <n v="3"/>
    <n v="0.05"/>
    <n v="-1608.22"/>
    <s v="Debit Card"/>
  </r>
  <r>
    <n v="74"/>
    <s v="ORD-1074"/>
    <d v="2025-08-13T00:00:00"/>
    <s v="Riya Patel"/>
    <s v="Home Office"/>
    <x v="7"/>
    <s v="Tamil Nadu"/>
    <x v="0"/>
    <x v="7"/>
    <n v="10556.06"/>
    <n v="5"/>
    <n v="0.1"/>
    <n v="793.95"/>
    <s v="Debit Card"/>
  </r>
  <r>
    <n v="75"/>
    <s v="ORD-1075"/>
    <d v="2025-12-11T00:00:00"/>
    <s v="Vivaan Joshi"/>
    <s v="Home Office"/>
    <x v="6"/>
    <s v="Gujarat"/>
    <x v="0"/>
    <x v="7"/>
    <n v="9134.9599999999991"/>
    <n v="6"/>
    <n v="0"/>
    <n v="-994.82"/>
    <s v="UPI"/>
  </r>
  <r>
    <n v="76"/>
    <s v="ORD-1076"/>
    <d v="2025-11-22T00:00:00"/>
    <s v="Myra Mehta"/>
    <s v="Consumer"/>
    <x v="5"/>
    <s v="Rajasthan"/>
    <x v="2"/>
    <x v="5"/>
    <n v="13757.88"/>
    <n v="8"/>
    <n v="0.05"/>
    <n v="4108.45"/>
    <s v="Credit Card"/>
  </r>
  <r>
    <n v="77"/>
    <s v="ORD-1077"/>
    <d v="2025-07-30T00:00:00"/>
    <s v="Myra Mehta"/>
    <s v="Corporate"/>
    <x v="4"/>
    <s v="Gujarat"/>
    <x v="2"/>
    <x v="5"/>
    <n v="4951.66"/>
    <n v="6"/>
    <n v="0"/>
    <n v="1168.49"/>
    <s v="Cash"/>
  </r>
  <r>
    <n v="78"/>
    <s v="ORD-1078"/>
    <d v="2025-09-21T00:00:00"/>
    <s v="Aarav Shah"/>
    <s v="Home Office"/>
    <x v="5"/>
    <s v="Rajasthan"/>
    <x v="2"/>
    <x v="6"/>
    <n v="4854.8500000000004"/>
    <n v="2"/>
    <n v="0.1"/>
    <n v="-474.98"/>
    <s v="Debit Card"/>
  </r>
  <r>
    <n v="79"/>
    <s v="ORD-1079"/>
    <d v="2025-11-17T00:00:00"/>
    <s v="Myra Mehta"/>
    <s v="Consumer"/>
    <x v="7"/>
    <s v="Tamil Nadu"/>
    <x v="2"/>
    <x v="3"/>
    <n v="2976.22"/>
    <n v="1"/>
    <n v="0.1"/>
    <n v="387.46"/>
    <s v="Credit Card"/>
  </r>
  <r>
    <n v="80"/>
    <s v="ORD-1080"/>
    <d v="2025-03-04T00:00:00"/>
    <s v="Aarav Shah"/>
    <s v="Home Office"/>
    <x v="7"/>
    <s v="Tamil Nadu"/>
    <x v="0"/>
    <x v="14"/>
    <n v="13929.56"/>
    <n v="3"/>
    <n v="0.15"/>
    <n v="3431.98"/>
    <s v="UPI"/>
  </r>
  <r>
    <n v="81"/>
    <s v="ORD-1081"/>
    <d v="2025-04-26T00:00:00"/>
    <s v="Riya Patel"/>
    <s v="Corporate"/>
    <x v="2"/>
    <s v="Maharashtra"/>
    <x v="0"/>
    <x v="7"/>
    <n v="4799.1000000000004"/>
    <n v="3"/>
    <n v="0"/>
    <n v="472.77"/>
    <s v="UPI"/>
  </r>
  <r>
    <n v="82"/>
    <s v="ORD-1082"/>
    <d v="2025-08-30T00:00:00"/>
    <s v="Anaya Desai"/>
    <s v="Corporate"/>
    <x v="7"/>
    <s v="Tamil Nadu"/>
    <x v="2"/>
    <x v="6"/>
    <n v="7731.31"/>
    <n v="5"/>
    <n v="0.1"/>
    <n v="285.83"/>
    <s v="UPI"/>
  </r>
  <r>
    <n v="83"/>
    <s v="ORD-1083"/>
    <d v="2025-02-05T00:00:00"/>
    <s v="Vivaan Joshi"/>
    <s v="Corporate"/>
    <x v="0"/>
    <s v="Delhi"/>
    <x v="2"/>
    <x v="2"/>
    <n v="13843.65"/>
    <n v="4"/>
    <n v="0.2"/>
    <n v="2572.59"/>
    <s v="Credit Card"/>
  </r>
  <r>
    <n v="84"/>
    <s v="ORD-1084"/>
    <d v="2025-03-18T00:00:00"/>
    <s v="Myra Mehta"/>
    <s v="Home Office"/>
    <x v="7"/>
    <s v="Tamil Nadu"/>
    <x v="1"/>
    <x v="1"/>
    <n v="10945.55"/>
    <n v="5"/>
    <n v="0.2"/>
    <n v="1214.58"/>
    <s v="Credit Card"/>
  </r>
  <r>
    <n v="85"/>
    <s v="ORD-1085"/>
    <d v="2025-10-20T00:00:00"/>
    <s v="Arjun Patel"/>
    <s v="Consumer"/>
    <x v="1"/>
    <s v="Karnataka"/>
    <x v="2"/>
    <x v="5"/>
    <n v="6939.1"/>
    <n v="7"/>
    <n v="0.1"/>
    <n v="1674.55"/>
    <s v="Cash"/>
  </r>
  <r>
    <n v="86"/>
    <s v="ORD-1086"/>
    <d v="2025-09-11T00:00:00"/>
    <s v="Aarav Shah"/>
    <s v="Consumer"/>
    <x v="0"/>
    <s v="Delhi"/>
    <x v="2"/>
    <x v="6"/>
    <n v="10637.37"/>
    <n v="8"/>
    <n v="0.15"/>
    <n v="252.48"/>
    <s v="Credit Card"/>
  </r>
  <r>
    <n v="87"/>
    <s v="ORD-1087"/>
    <d v="2025-07-29T00:00:00"/>
    <s v="Kabir Mehta"/>
    <s v="Consumer"/>
    <x v="0"/>
    <s v="Delhi"/>
    <x v="1"/>
    <x v="1"/>
    <n v="1675.73"/>
    <n v="8"/>
    <n v="0.15"/>
    <n v="-239.79"/>
    <s v="Credit Card"/>
  </r>
  <r>
    <n v="88"/>
    <s v="ORD-1088"/>
    <d v="2025-06-12T00:00:00"/>
    <s v="Myra Mehta"/>
    <s v="Home Office"/>
    <x v="5"/>
    <s v="Rajasthan"/>
    <x v="2"/>
    <x v="12"/>
    <n v="9817.58"/>
    <n v="7"/>
    <n v="0.1"/>
    <n v="2292.9299999999998"/>
    <s v="Cash"/>
  </r>
  <r>
    <n v="89"/>
    <s v="ORD-1089"/>
    <d v="2025-11-21T00:00:00"/>
    <s v="Riya Patel"/>
    <s v="Corporate"/>
    <x v="2"/>
    <s v="Maharashtra"/>
    <x v="1"/>
    <x v="9"/>
    <n v="14961.9"/>
    <n v="5"/>
    <n v="0"/>
    <n v="677.58"/>
    <s v="Credit Card"/>
  </r>
  <r>
    <n v="90"/>
    <s v="ORD-1090"/>
    <d v="2025-08-09T00:00:00"/>
    <s v="Kabir Mehta"/>
    <s v="Consumer"/>
    <x v="4"/>
    <s v="Gujarat"/>
    <x v="1"/>
    <x v="10"/>
    <n v="5000.75"/>
    <n v="1"/>
    <n v="0"/>
    <n v="-89.94"/>
    <s v="Debit Card"/>
  </r>
  <r>
    <n v="91"/>
    <s v="ORD-1091"/>
    <d v="2025-11-14T00:00:00"/>
    <s v="Anaya Desai"/>
    <s v="Corporate"/>
    <x v="5"/>
    <s v="Rajasthan"/>
    <x v="0"/>
    <x v="14"/>
    <n v="2715.76"/>
    <n v="3"/>
    <n v="0"/>
    <n v="337.49"/>
    <s v="UPI"/>
  </r>
  <r>
    <n v="92"/>
    <s v="ORD-1092"/>
    <d v="2025-08-27T00:00:00"/>
    <s v="Vivaan Joshi"/>
    <s v="Home Office"/>
    <x v="6"/>
    <s v="Gujarat"/>
    <x v="1"/>
    <x v="10"/>
    <n v="9640.99"/>
    <n v="8"/>
    <n v="0.15"/>
    <n v="-338.43"/>
    <s v="UPI"/>
  </r>
  <r>
    <n v="93"/>
    <s v="ORD-1093"/>
    <d v="2025-12-20T00:00:00"/>
    <s v="Vivaan Joshi"/>
    <s v="Corporate"/>
    <x v="5"/>
    <s v="Rajasthan"/>
    <x v="1"/>
    <x v="4"/>
    <n v="14189.49"/>
    <n v="8"/>
    <n v="0.2"/>
    <n v="-218.24"/>
    <s v="UPI"/>
  </r>
  <r>
    <n v="94"/>
    <s v="ORD-1094"/>
    <d v="2025-12-25T00:00:00"/>
    <s v="Vivaan Joshi"/>
    <s v="Consumer"/>
    <x v="3"/>
    <s v="Maharashtra"/>
    <x v="2"/>
    <x v="5"/>
    <n v="1778.47"/>
    <n v="8"/>
    <n v="0.15"/>
    <n v="190.95"/>
    <s v="Credit Card"/>
  </r>
  <r>
    <n v="95"/>
    <s v="ORD-1095"/>
    <d v="2025-04-28T00:00:00"/>
    <s v="Diya Shah"/>
    <s v="Consumer"/>
    <x v="3"/>
    <s v="Maharashtra"/>
    <x v="1"/>
    <x v="9"/>
    <n v="13677.13"/>
    <n v="1"/>
    <n v="0.15"/>
    <n v="3074.31"/>
    <s v="Credit Card"/>
  </r>
  <r>
    <n v="96"/>
    <s v="ORD-1096"/>
    <d v="2025-01-18T00:00:00"/>
    <s v="Diya Shah"/>
    <s v="Home Office"/>
    <x v="7"/>
    <s v="Tamil Nadu"/>
    <x v="0"/>
    <x v="8"/>
    <n v="9498.07"/>
    <n v="3"/>
    <n v="0"/>
    <n v="-104.29"/>
    <s v="Cash"/>
  </r>
  <r>
    <n v="97"/>
    <s v="ORD-1097"/>
    <d v="2025-09-29T00:00:00"/>
    <s v="Vivaan Joshi"/>
    <s v="Consumer"/>
    <x v="4"/>
    <s v="Gujarat"/>
    <x v="2"/>
    <x v="2"/>
    <n v="11262.72"/>
    <n v="6"/>
    <n v="0.05"/>
    <n v="-671.74"/>
    <s v="Debit Card"/>
  </r>
  <r>
    <n v="98"/>
    <s v="ORD-1098"/>
    <d v="2025-04-26T00:00:00"/>
    <s v="Arjun Patel"/>
    <s v="Home Office"/>
    <x v="0"/>
    <s v="Delhi"/>
    <x v="2"/>
    <x v="2"/>
    <n v="12102.64"/>
    <n v="6"/>
    <n v="0.15"/>
    <n v="3428.7"/>
    <s v="Cash"/>
  </r>
  <r>
    <n v="99"/>
    <s v="ORD-1099"/>
    <d v="2025-10-27T00:00:00"/>
    <s v="Arjun Patel"/>
    <s v="Home Office"/>
    <x v="3"/>
    <s v="Maharashtra"/>
    <x v="2"/>
    <x v="2"/>
    <n v="4113.99"/>
    <n v="1"/>
    <n v="0"/>
    <n v="224.84"/>
    <s v="Cash"/>
  </r>
  <r>
    <n v="100"/>
    <s v="ORD-1100"/>
    <d v="2025-11-09T00:00:00"/>
    <s v="Anaya Desai"/>
    <s v="Home Office"/>
    <x v="4"/>
    <s v="Gujarat"/>
    <x v="0"/>
    <x v="7"/>
    <n v="7177.86"/>
    <n v="4"/>
    <n v="0.2"/>
    <n v="1779.43"/>
    <s v="Debit Card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274C543-5FDF-447A-80E1-F388B60B2D5E}" name="PivotTable1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12" firstHeaderRow="0" firstDataRow="1" firstDataCol="1"/>
  <pivotFields count="14">
    <pivotField showAll="0"/>
    <pivotField showAll="0"/>
    <pivotField numFmtId="14" showAll="0"/>
    <pivotField showAll="0"/>
    <pivotField showAll="0"/>
    <pivotField axis="axisRow" showAll="0" sortType="descending">
      <items count="9">
        <item x="6"/>
        <item x="1"/>
        <item x="7"/>
        <item x="0"/>
        <item x="5"/>
        <item x="2"/>
        <item x="3"/>
        <item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>
      <items count="4">
        <item x="2"/>
        <item x="0"/>
        <item x="1"/>
        <item t="default"/>
      </items>
    </pivotField>
    <pivotField showAll="0"/>
    <pivotField dataField="1" showAll="0"/>
    <pivotField showAll="0"/>
    <pivotField showAll="0"/>
    <pivotField dataField="1" showAll="0"/>
    <pivotField showAll="0"/>
  </pivotFields>
  <rowFields count="1">
    <field x="5"/>
  </rowFields>
  <rowItems count="9">
    <i>
      <x v="1"/>
    </i>
    <i>
      <x v="4"/>
    </i>
    <i>
      <x v="2"/>
    </i>
    <i>
      <x v="7"/>
    </i>
    <i>
      <x/>
    </i>
    <i>
      <x v="3"/>
    </i>
    <i>
      <x v="5"/>
    </i>
    <i>
      <x v="6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9" baseField="0" baseItem="0"/>
    <dataField name="Sum of Profit" fld="12" baseField="0" baseItem="0"/>
  </dataFields>
  <formats count="3">
    <format dxfId="13">
      <pivotArea collapsedLevelsAreSubtotals="1" fieldPosition="0">
        <references count="1">
          <reference field="5" count="0"/>
        </references>
      </pivotArea>
    </format>
    <format dxfId="3">
      <pivotArea collapsedLevelsAreSubtotals="1" fieldPosition="0">
        <references count="1">
          <reference field="5" count="1">
            <x v="1"/>
          </reference>
        </references>
      </pivotArea>
    </format>
    <format dxfId="2">
      <pivotArea dataOnly="0" labelOnly="1" fieldPosition="0">
        <references count="1">
          <reference field="5" count="1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D2E9C75-79BF-427E-A861-563CA94D4BD8}" name="PivotTable2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2">
  <location ref="A3:B7" firstHeaderRow="1" firstDataRow="1" firstDataCol="1"/>
  <pivotFields count="14">
    <pivotField showAll="0"/>
    <pivotField showAll="0"/>
    <pivotField numFmtId="14" showAll="0"/>
    <pivotField showAll="0"/>
    <pivotField showAll="0"/>
    <pivotField showAll="0"/>
    <pivotField showAll="0"/>
    <pivotField axis="axisRow" showAll="0">
      <items count="4">
        <item x="2"/>
        <item x="0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</pivotFields>
  <rowFields count="1">
    <field x="7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s" fld="9" baseField="0" baseItem="0"/>
  </dataFields>
  <chartFormats count="5"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2D09301-8FD0-4B99-A9FB-370C57CB1AF7}" name="PivotTable3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B9" firstHeaderRow="1" firstDataRow="1" firstDataCol="1"/>
  <pivotFields count="14">
    <pivotField showAll="0"/>
    <pivotField showAll="0"/>
    <pivotField numFmtId="14" showAll="0"/>
    <pivotField showAll="0"/>
    <pivotField showAll="0"/>
    <pivotField showAll="0"/>
    <pivotField showAll="0"/>
    <pivotField showAll="0"/>
    <pivotField axis="axisRow" showAll="0" measureFilter="1" sortType="descending">
      <items count="16">
        <item x="2"/>
        <item x="6"/>
        <item x="3"/>
        <item x="0"/>
        <item x="9"/>
        <item x="13"/>
        <item x="1"/>
        <item x="4"/>
        <item x="7"/>
        <item x="12"/>
        <item x="14"/>
        <item x="8"/>
        <item x="10"/>
        <item x="11"/>
        <item x="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dataField="1" showAll="0"/>
    <pivotField showAll="0"/>
  </pivotFields>
  <rowFields count="1">
    <field x="8"/>
  </rowFields>
  <rowItems count="6">
    <i>
      <x v="4"/>
    </i>
    <i>
      <x v="14"/>
    </i>
    <i>
      <x v="9"/>
    </i>
    <i>
      <x/>
    </i>
    <i>
      <x v="8"/>
    </i>
    <i t="grand">
      <x/>
    </i>
  </rowItems>
  <colItems count="1">
    <i/>
  </colItems>
  <dataFields count="1">
    <dataField name="Sum of Profit" fld="12" baseField="0" baseItem="0"/>
  </dataFields>
  <chartFormats count="1"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8" type="count" evalOrder="-1" id="1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D1A47FB4-A89C-4760-A878-0AF08A8EBA1F}" autoFormatId="16" applyNumberFormats="0" applyBorderFormats="0" applyFontFormats="0" applyPatternFormats="0" applyAlignmentFormats="0" applyWidthHeightFormats="0">
  <queryTableRefresh nextId="15">
    <queryTableFields count="14">
      <queryTableField id="1" name="Row_ID" tableColumnId="1"/>
      <queryTableField id="2" name="Order_ID" tableColumnId="2"/>
      <queryTableField id="3" name="Order_Date" tableColumnId="3"/>
      <queryTableField id="4" name="Customer_Name" tableColumnId="4"/>
      <queryTableField id="5" name="Segment" tableColumnId="5"/>
      <queryTableField id="6" name="City" tableColumnId="6"/>
      <queryTableField id="7" name="State" tableColumnId="7"/>
      <queryTableField id="8" name="Category" tableColumnId="8"/>
      <queryTableField id="9" name="Sub_Category" tableColumnId="9"/>
      <queryTableField id="10" name="Sales" tableColumnId="10"/>
      <queryTableField id="11" name="Quantity" tableColumnId="11"/>
      <queryTableField id="12" name="Discount" tableColumnId="12"/>
      <queryTableField id="13" name="Profit" tableColumnId="13"/>
      <queryTableField id="14" name="Payment_Mode" tableColumnId="1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1B3C0CD-C4F2-43B1-AA3B-F41DDE98C8E3}" name="SampleSuperstore_100_Rows" displayName="SampleSuperstore_100_Rows" ref="A1:N101" tableType="queryTable" totalsRowShown="0">
  <autoFilter ref="A1:N101" xr:uid="{E1B3C0CD-C4F2-43B1-AA3B-F41DDE98C8E3}"/>
  <tableColumns count="14">
    <tableColumn id="1" xr3:uid="{3AB6DDB2-946E-4762-A42C-EF5A75C06AEC}" uniqueName="1" name="Row_ID" queryTableFieldId="1"/>
    <tableColumn id="2" xr3:uid="{C4909817-0940-4A84-B5D0-270E12B042A0}" uniqueName="2" name="Order_ID" queryTableFieldId="2" dataDxfId="12"/>
    <tableColumn id="3" xr3:uid="{86799530-9F29-42D5-AF02-7362CA1CFA4D}" uniqueName="3" name="Order_Date" queryTableFieldId="3" dataDxfId="11"/>
    <tableColumn id="4" xr3:uid="{B3CF3E42-3E9E-47F9-B29A-D1824E06B500}" uniqueName="4" name="Customer_Name" queryTableFieldId="4" dataDxfId="10"/>
    <tableColumn id="5" xr3:uid="{076E0040-96E8-476B-B7E9-33B91726E39D}" uniqueName="5" name="Segment" queryTableFieldId="5" dataDxfId="9"/>
    <tableColumn id="6" xr3:uid="{9A54D71C-8CCF-4B96-822E-995A8A2A543F}" uniqueName="6" name="City" queryTableFieldId="6" dataDxfId="8"/>
    <tableColumn id="7" xr3:uid="{75D31BEC-2666-4064-9CDB-4F9DB4B88BAF}" uniqueName="7" name="State" queryTableFieldId="7" dataDxfId="7"/>
    <tableColumn id="8" xr3:uid="{B4D5EE75-3A42-4B75-8B64-B1BBBF10D8ED}" uniqueName="8" name="Category" queryTableFieldId="8" dataDxfId="6"/>
    <tableColumn id="9" xr3:uid="{E795139C-C8A1-4B5C-A4FA-25EDB590C8E7}" uniqueName="9" name="Sub_Category" queryTableFieldId="9" dataDxfId="5"/>
    <tableColumn id="10" xr3:uid="{3478076A-9196-49CD-BB5E-A0D35A0F23D9}" uniqueName="10" name="Sales" queryTableFieldId="10"/>
    <tableColumn id="11" xr3:uid="{3C6FD149-CF27-4EED-BDB6-90844A7416FD}" uniqueName="11" name="Quantity" queryTableFieldId="11"/>
    <tableColumn id="12" xr3:uid="{9D02C51C-2B7F-4BE1-9BE8-CE233C873C0B}" uniqueName="12" name="Discount" queryTableFieldId="12"/>
    <tableColumn id="13" xr3:uid="{B070147F-25D1-4EDD-884C-AE95F68F8984}" uniqueName="13" name="Profit" queryTableFieldId="13"/>
    <tableColumn id="14" xr3:uid="{BE1D4BDA-C3B7-497E-ADBC-3933CCA14682}" uniqueName="14" name="Payment_Mode" queryTableFieldId="14" dataDxfId="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44774C-9866-4CF0-8591-D7F31EAFC2FF}">
  <dimension ref="A1:N101"/>
  <sheetViews>
    <sheetView topLeftCell="A2" workbookViewId="0">
      <selection activeCell="J2" sqref="A2:N101"/>
    </sheetView>
  </sheetViews>
  <sheetFormatPr defaultRowHeight="14.4" x14ac:dyDescent="0.3"/>
  <cols>
    <col min="1" max="1" width="9.21875" bestFit="1" customWidth="1"/>
    <col min="2" max="2" width="10.5546875" bestFit="1" customWidth="1"/>
    <col min="3" max="3" width="12.6640625" bestFit="1" customWidth="1"/>
    <col min="4" max="4" width="17.21875" bestFit="1" customWidth="1"/>
    <col min="5" max="5" width="11.109375" bestFit="1" customWidth="1"/>
    <col min="6" max="6" width="10.6640625" bestFit="1" customWidth="1"/>
    <col min="7" max="7" width="11.21875" bestFit="1" customWidth="1"/>
    <col min="8" max="8" width="13.109375" bestFit="1" customWidth="1"/>
    <col min="9" max="9" width="14.5546875" bestFit="1" customWidth="1"/>
    <col min="10" max="10" width="9" bestFit="1" customWidth="1"/>
    <col min="11" max="11" width="10.33203125" bestFit="1" customWidth="1"/>
    <col min="12" max="12" width="10.5546875" bestFit="1" customWidth="1"/>
    <col min="13" max="13" width="8.6640625" bestFit="1" customWidth="1"/>
    <col min="14" max="14" width="16" bestFit="1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>
        <v>1</v>
      </c>
      <c r="B2" t="s">
        <v>14</v>
      </c>
      <c r="C2" s="1">
        <v>45710</v>
      </c>
      <c r="D2" t="s">
        <v>15</v>
      </c>
      <c r="E2" t="s">
        <v>16</v>
      </c>
      <c r="F2" t="s">
        <v>17</v>
      </c>
      <c r="G2" t="s">
        <v>17</v>
      </c>
      <c r="H2" t="s">
        <v>18</v>
      </c>
      <c r="I2" t="s">
        <v>19</v>
      </c>
      <c r="J2">
        <v>570.16</v>
      </c>
      <c r="K2">
        <v>2</v>
      </c>
      <c r="L2">
        <v>0.1</v>
      </c>
      <c r="M2">
        <v>-22.69</v>
      </c>
      <c r="N2" t="s">
        <v>20</v>
      </c>
    </row>
    <row r="3" spans="1:14" x14ac:dyDescent="0.3">
      <c r="A3">
        <v>2</v>
      </c>
      <c r="B3" t="s">
        <v>21</v>
      </c>
      <c r="C3" s="1">
        <v>45990</v>
      </c>
      <c r="D3" t="s">
        <v>22</v>
      </c>
      <c r="E3" t="s">
        <v>23</v>
      </c>
      <c r="F3" t="s">
        <v>24</v>
      </c>
      <c r="G3" t="s">
        <v>25</v>
      </c>
      <c r="H3" t="s">
        <v>26</v>
      </c>
      <c r="I3" t="s">
        <v>27</v>
      </c>
      <c r="J3">
        <v>3435.84</v>
      </c>
      <c r="K3">
        <v>2</v>
      </c>
      <c r="L3">
        <v>0.2</v>
      </c>
      <c r="M3">
        <v>415.42</v>
      </c>
      <c r="N3" t="s">
        <v>28</v>
      </c>
    </row>
    <row r="4" spans="1:14" x14ac:dyDescent="0.3">
      <c r="A4">
        <v>3</v>
      </c>
      <c r="B4" t="s">
        <v>29</v>
      </c>
      <c r="C4" s="1">
        <v>45830</v>
      </c>
      <c r="D4" t="s">
        <v>15</v>
      </c>
      <c r="E4" t="s">
        <v>23</v>
      </c>
      <c r="F4" t="s">
        <v>24</v>
      </c>
      <c r="G4" t="s">
        <v>25</v>
      </c>
      <c r="H4" t="s">
        <v>26</v>
      </c>
      <c r="I4" t="s">
        <v>27</v>
      </c>
      <c r="J4">
        <v>10532.46</v>
      </c>
      <c r="K4">
        <v>3</v>
      </c>
      <c r="L4">
        <v>0.1</v>
      </c>
      <c r="M4">
        <v>-262.87</v>
      </c>
      <c r="N4" t="s">
        <v>20</v>
      </c>
    </row>
    <row r="5" spans="1:14" x14ac:dyDescent="0.3">
      <c r="A5">
        <v>4</v>
      </c>
      <c r="B5" t="s">
        <v>30</v>
      </c>
      <c r="C5" s="1">
        <v>45851</v>
      </c>
      <c r="D5" t="s">
        <v>15</v>
      </c>
      <c r="E5" t="s">
        <v>16</v>
      </c>
      <c r="F5" t="s">
        <v>31</v>
      </c>
      <c r="G5" t="s">
        <v>32</v>
      </c>
      <c r="H5" t="s">
        <v>33</v>
      </c>
      <c r="I5" t="s">
        <v>34</v>
      </c>
      <c r="J5">
        <v>9135.15</v>
      </c>
      <c r="K5">
        <v>6</v>
      </c>
      <c r="L5">
        <v>0</v>
      </c>
      <c r="M5">
        <v>1629.52</v>
      </c>
      <c r="N5" t="s">
        <v>28</v>
      </c>
    </row>
    <row r="6" spans="1:14" x14ac:dyDescent="0.3">
      <c r="A6">
        <v>5</v>
      </c>
      <c r="B6" t="s">
        <v>35</v>
      </c>
      <c r="C6" s="1">
        <v>45698</v>
      </c>
      <c r="D6" t="s">
        <v>36</v>
      </c>
      <c r="E6" t="s">
        <v>23</v>
      </c>
      <c r="F6" t="s">
        <v>37</v>
      </c>
      <c r="G6" t="s">
        <v>32</v>
      </c>
      <c r="H6" t="s">
        <v>18</v>
      </c>
      <c r="I6" t="s">
        <v>19</v>
      </c>
      <c r="J6">
        <v>10627.66</v>
      </c>
      <c r="K6">
        <v>4</v>
      </c>
      <c r="L6">
        <v>0</v>
      </c>
      <c r="M6">
        <v>1568.31</v>
      </c>
      <c r="N6" t="s">
        <v>28</v>
      </c>
    </row>
    <row r="7" spans="1:14" x14ac:dyDescent="0.3">
      <c r="A7">
        <v>6</v>
      </c>
      <c r="B7" t="s">
        <v>38</v>
      </c>
      <c r="C7" s="1">
        <v>46017</v>
      </c>
      <c r="D7" t="s">
        <v>15</v>
      </c>
      <c r="E7" t="s">
        <v>16</v>
      </c>
      <c r="F7" t="s">
        <v>37</v>
      </c>
      <c r="G7" t="s">
        <v>32</v>
      </c>
      <c r="H7" t="s">
        <v>33</v>
      </c>
      <c r="I7" t="s">
        <v>39</v>
      </c>
      <c r="J7">
        <v>2607.2800000000002</v>
      </c>
      <c r="K7">
        <v>6</v>
      </c>
      <c r="L7">
        <v>0.1</v>
      </c>
      <c r="M7">
        <v>-145.28</v>
      </c>
      <c r="N7" t="s">
        <v>40</v>
      </c>
    </row>
    <row r="8" spans="1:14" x14ac:dyDescent="0.3">
      <c r="A8">
        <v>7</v>
      </c>
      <c r="B8" t="s">
        <v>41</v>
      </c>
      <c r="C8" s="1">
        <v>45686</v>
      </c>
      <c r="D8" t="s">
        <v>36</v>
      </c>
      <c r="E8" t="s">
        <v>23</v>
      </c>
      <c r="F8" t="s">
        <v>42</v>
      </c>
      <c r="G8" t="s">
        <v>43</v>
      </c>
      <c r="H8" t="s">
        <v>26</v>
      </c>
      <c r="I8" t="s">
        <v>44</v>
      </c>
      <c r="J8">
        <v>5815.94</v>
      </c>
      <c r="K8">
        <v>8</v>
      </c>
      <c r="L8">
        <v>0.2</v>
      </c>
      <c r="M8">
        <v>-297.62</v>
      </c>
      <c r="N8" t="s">
        <v>45</v>
      </c>
    </row>
    <row r="9" spans="1:14" x14ac:dyDescent="0.3">
      <c r="A9">
        <v>8</v>
      </c>
      <c r="B9" t="s">
        <v>46</v>
      </c>
      <c r="C9" s="1">
        <v>45766</v>
      </c>
      <c r="D9" t="s">
        <v>47</v>
      </c>
      <c r="E9" t="s">
        <v>48</v>
      </c>
      <c r="F9" t="s">
        <v>42</v>
      </c>
      <c r="G9" t="s">
        <v>43</v>
      </c>
      <c r="H9" t="s">
        <v>33</v>
      </c>
      <c r="I9" t="s">
        <v>49</v>
      </c>
      <c r="J9">
        <v>3322.55</v>
      </c>
      <c r="K9">
        <v>2</v>
      </c>
      <c r="L9">
        <v>0.2</v>
      </c>
      <c r="M9">
        <v>811.92</v>
      </c>
      <c r="N9" t="s">
        <v>40</v>
      </c>
    </row>
    <row r="10" spans="1:14" x14ac:dyDescent="0.3">
      <c r="A10">
        <v>9</v>
      </c>
      <c r="B10" t="s">
        <v>50</v>
      </c>
      <c r="C10" s="1">
        <v>45956</v>
      </c>
      <c r="D10" t="s">
        <v>22</v>
      </c>
      <c r="E10" t="s">
        <v>48</v>
      </c>
      <c r="F10" t="s">
        <v>51</v>
      </c>
      <c r="G10" t="s">
        <v>52</v>
      </c>
      <c r="H10" t="s">
        <v>33</v>
      </c>
      <c r="I10" t="s">
        <v>39</v>
      </c>
      <c r="J10">
        <v>3850.09</v>
      </c>
      <c r="K10">
        <v>3</v>
      </c>
      <c r="L10">
        <v>0.2</v>
      </c>
      <c r="M10">
        <v>356.29</v>
      </c>
      <c r="N10" t="s">
        <v>40</v>
      </c>
    </row>
    <row r="11" spans="1:14" x14ac:dyDescent="0.3">
      <c r="A11">
        <v>10</v>
      </c>
      <c r="B11" t="s">
        <v>53</v>
      </c>
      <c r="C11" s="1">
        <v>45979</v>
      </c>
      <c r="D11" t="s">
        <v>54</v>
      </c>
      <c r="E11" t="s">
        <v>16</v>
      </c>
      <c r="F11" t="s">
        <v>17</v>
      </c>
      <c r="G11" t="s">
        <v>17</v>
      </c>
      <c r="H11" t="s">
        <v>18</v>
      </c>
      <c r="I11" t="s">
        <v>19</v>
      </c>
      <c r="J11">
        <v>1545.46</v>
      </c>
      <c r="K11">
        <v>8</v>
      </c>
      <c r="L11">
        <v>0</v>
      </c>
      <c r="M11">
        <v>367.04</v>
      </c>
      <c r="N11" t="s">
        <v>20</v>
      </c>
    </row>
    <row r="12" spans="1:14" x14ac:dyDescent="0.3">
      <c r="A12">
        <v>11</v>
      </c>
      <c r="B12" t="s">
        <v>55</v>
      </c>
      <c r="C12" s="1">
        <v>46006</v>
      </c>
      <c r="D12" t="s">
        <v>15</v>
      </c>
      <c r="E12" t="s">
        <v>16</v>
      </c>
      <c r="F12" t="s">
        <v>56</v>
      </c>
      <c r="G12" t="s">
        <v>43</v>
      </c>
      <c r="H12" t="s">
        <v>33</v>
      </c>
      <c r="I12" t="s">
        <v>57</v>
      </c>
      <c r="J12">
        <v>9019.15</v>
      </c>
      <c r="K12">
        <v>7</v>
      </c>
      <c r="L12">
        <v>0.15</v>
      </c>
      <c r="M12">
        <v>794.6</v>
      </c>
      <c r="N12" t="s">
        <v>28</v>
      </c>
    </row>
    <row r="13" spans="1:14" x14ac:dyDescent="0.3">
      <c r="A13">
        <v>12</v>
      </c>
      <c r="B13" t="s">
        <v>58</v>
      </c>
      <c r="C13" s="1">
        <v>45792</v>
      </c>
      <c r="D13" t="s">
        <v>54</v>
      </c>
      <c r="E13" t="s">
        <v>16</v>
      </c>
      <c r="F13" t="s">
        <v>56</v>
      </c>
      <c r="G13" t="s">
        <v>43</v>
      </c>
      <c r="H13" t="s">
        <v>18</v>
      </c>
      <c r="I13" t="s">
        <v>59</v>
      </c>
      <c r="J13">
        <v>1850.97</v>
      </c>
      <c r="K13">
        <v>6</v>
      </c>
      <c r="L13">
        <v>0.15</v>
      </c>
      <c r="M13">
        <v>-145.91</v>
      </c>
      <c r="N13" t="s">
        <v>28</v>
      </c>
    </row>
    <row r="14" spans="1:14" x14ac:dyDescent="0.3">
      <c r="A14">
        <v>13</v>
      </c>
      <c r="B14" t="s">
        <v>60</v>
      </c>
      <c r="C14" s="1">
        <v>45964</v>
      </c>
      <c r="D14" t="s">
        <v>61</v>
      </c>
      <c r="E14" t="s">
        <v>48</v>
      </c>
      <c r="F14" t="s">
        <v>56</v>
      </c>
      <c r="G14" t="s">
        <v>43</v>
      </c>
      <c r="H14" t="s">
        <v>18</v>
      </c>
      <c r="I14" t="s">
        <v>59</v>
      </c>
      <c r="J14">
        <v>2462.02</v>
      </c>
      <c r="K14">
        <v>4</v>
      </c>
      <c r="L14">
        <v>0.05</v>
      </c>
      <c r="M14">
        <v>228.28</v>
      </c>
      <c r="N14" t="s">
        <v>20</v>
      </c>
    </row>
    <row r="15" spans="1:14" x14ac:dyDescent="0.3">
      <c r="A15">
        <v>14</v>
      </c>
      <c r="B15" t="s">
        <v>62</v>
      </c>
      <c r="C15" s="1">
        <v>45701</v>
      </c>
      <c r="D15" t="s">
        <v>47</v>
      </c>
      <c r="E15" t="s">
        <v>23</v>
      </c>
      <c r="F15" t="s">
        <v>31</v>
      </c>
      <c r="G15" t="s">
        <v>32</v>
      </c>
      <c r="H15" t="s">
        <v>33</v>
      </c>
      <c r="I15" t="s">
        <v>57</v>
      </c>
      <c r="J15">
        <v>3743.89</v>
      </c>
      <c r="K15">
        <v>5</v>
      </c>
      <c r="L15">
        <v>0.05</v>
      </c>
      <c r="M15">
        <v>917.64</v>
      </c>
      <c r="N15" t="s">
        <v>40</v>
      </c>
    </row>
    <row r="16" spans="1:14" x14ac:dyDescent="0.3">
      <c r="A16">
        <v>15</v>
      </c>
      <c r="B16" t="s">
        <v>63</v>
      </c>
      <c r="C16" s="1">
        <v>45766</v>
      </c>
      <c r="D16" t="s">
        <v>36</v>
      </c>
      <c r="E16" t="s">
        <v>16</v>
      </c>
      <c r="F16" t="s">
        <v>51</v>
      </c>
      <c r="G16" t="s">
        <v>52</v>
      </c>
      <c r="H16" t="s">
        <v>26</v>
      </c>
      <c r="I16" t="s">
        <v>44</v>
      </c>
      <c r="J16">
        <v>14213.36</v>
      </c>
      <c r="K16">
        <v>8</v>
      </c>
      <c r="L16">
        <v>0.05</v>
      </c>
      <c r="M16">
        <v>-436.7</v>
      </c>
      <c r="N16" t="s">
        <v>45</v>
      </c>
    </row>
    <row r="17" spans="1:14" x14ac:dyDescent="0.3">
      <c r="A17">
        <v>16</v>
      </c>
      <c r="B17" t="s">
        <v>64</v>
      </c>
      <c r="C17" s="1">
        <v>45773</v>
      </c>
      <c r="D17" t="s">
        <v>15</v>
      </c>
      <c r="E17" t="s">
        <v>48</v>
      </c>
      <c r="F17" t="s">
        <v>24</v>
      </c>
      <c r="G17" t="s">
        <v>25</v>
      </c>
      <c r="H17" t="s">
        <v>18</v>
      </c>
      <c r="I17" t="s">
        <v>59</v>
      </c>
      <c r="J17">
        <v>6683.88</v>
      </c>
      <c r="K17">
        <v>6</v>
      </c>
      <c r="L17">
        <v>0.2</v>
      </c>
      <c r="M17">
        <v>355.37</v>
      </c>
      <c r="N17" t="s">
        <v>40</v>
      </c>
    </row>
    <row r="18" spans="1:14" x14ac:dyDescent="0.3">
      <c r="A18">
        <v>17</v>
      </c>
      <c r="B18" t="s">
        <v>65</v>
      </c>
      <c r="C18" s="1">
        <v>45827</v>
      </c>
      <c r="D18" t="s">
        <v>15</v>
      </c>
      <c r="E18" t="s">
        <v>16</v>
      </c>
      <c r="F18" t="s">
        <v>56</v>
      </c>
      <c r="G18" t="s">
        <v>43</v>
      </c>
      <c r="H18" t="s">
        <v>18</v>
      </c>
      <c r="I18" t="s">
        <v>66</v>
      </c>
      <c r="J18">
        <v>306.42</v>
      </c>
      <c r="K18">
        <v>4</v>
      </c>
      <c r="L18">
        <v>0</v>
      </c>
      <c r="M18">
        <v>-14.39</v>
      </c>
      <c r="N18" t="s">
        <v>28</v>
      </c>
    </row>
    <row r="19" spans="1:14" x14ac:dyDescent="0.3">
      <c r="A19">
        <v>18</v>
      </c>
      <c r="B19" t="s">
        <v>67</v>
      </c>
      <c r="C19" s="1">
        <v>45782</v>
      </c>
      <c r="D19" t="s">
        <v>47</v>
      </c>
      <c r="E19" t="s">
        <v>48</v>
      </c>
      <c r="F19" t="s">
        <v>68</v>
      </c>
      <c r="G19" t="s">
        <v>69</v>
      </c>
      <c r="H19" t="s">
        <v>18</v>
      </c>
      <c r="I19" t="s">
        <v>66</v>
      </c>
      <c r="J19">
        <v>3370.7</v>
      </c>
      <c r="K19">
        <v>8</v>
      </c>
      <c r="L19">
        <v>0.05</v>
      </c>
      <c r="M19">
        <v>591.59</v>
      </c>
      <c r="N19" t="s">
        <v>20</v>
      </c>
    </row>
    <row r="20" spans="1:14" x14ac:dyDescent="0.3">
      <c r="A20">
        <v>19</v>
      </c>
      <c r="B20" t="s">
        <v>70</v>
      </c>
      <c r="C20" s="1">
        <v>46002</v>
      </c>
      <c r="D20" t="s">
        <v>15</v>
      </c>
      <c r="E20" t="s">
        <v>23</v>
      </c>
      <c r="F20" t="s">
        <v>56</v>
      </c>
      <c r="G20" t="s">
        <v>43</v>
      </c>
      <c r="H20" t="s">
        <v>26</v>
      </c>
      <c r="I20" t="s">
        <v>27</v>
      </c>
      <c r="J20">
        <v>5443.6</v>
      </c>
      <c r="K20">
        <v>7</v>
      </c>
      <c r="L20">
        <v>0.15</v>
      </c>
      <c r="M20">
        <v>327.49</v>
      </c>
      <c r="N20" t="s">
        <v>28</v>
      </c>
    </row>
    <row r="21" spans="1:14" x14ac:dyDescent="0.3">
      <c r="A21">
        <v>20</v>
      </c>
      <c r="B21" t="s">
        <v>71</v>
      </c>
      <c r="C21" s="1">
        <v>45751</v>
      </c>
      <c r="D21" t="s">
        <v>72</v>
      </c>
      <c r="E21" t="s">
        <v>48</v>
      </c>
      <c r="F21" t="s">
        <v>51</v>
      </c>
      <c r="G21" t="s">
        <v>52</v>
      </c>
      <c r="H21" t="s">
        <v>26</v>
      </c>
      <c r="I21" t="s">
        <v>73</v>
      </c>
      <c r="J21">
        <v>3035.53</v>
      </c>
      <c r="K21">
        <v>4</v>
      </c>
      <c r="L21">
        <v>0.2</v>
      </c>
      <c r="M21">
        <v>157.47</v>
      </c>
      <c r="N21" t="s">
        <v>20</v>
      </c>
    </row>
    <row r="22" spans="1:14" x14ac:dyDescent="0.3">
      <c r="A22">
        <v>21</v>
      </c>
      <c r="B22" t="s">
        <v>74</v>
      </c>
      <c r="C22" s="1">
        <v>45779</v>
      </c>
      <c r="D22" t="s">
        <v>54</v>
      </c>
      <c r="E22" t="s">
        <v>48</v>
      </c>
      <c r="F22" t="s">
        <v>31</v>
      </c>
      <c r="G22" t="s">
        <v>32</v>
      </c>
      <c r="H22" t="s">
        <v>33</v>
      </c>
      <c r="I22" t="s">
        <v>49</v>
      </c>
      <c r="J22">
        <v>948.71</v>
      </c>
      <c r="K22">
        <v>2</v>
      </c>
      <c r="L22">
        <v>0.2</v>
      </c>
      <c r="M22">
        <v>214.61</v>
      </c>
      <c r="N22" t="s">
        <v>45</v>
      </c>
    </row>
    <row r="23" spans="1:14" x14ac:dyDescent="0.3">
      <c r="A23">
        <v>22</v>
      </c>
      <c r="B23" t="s">
        <v>75</v>
      </c>
      <c r="C23" s="1">
        <v>45793</v>
      </c>
      <c r="D23" t="s">
        <v>47</v>
      </c>
      <c r="E23" t="s">
        <v>48</v>
      </c>
      <c r="F23" t="s">
        <v>51</v>
      </c>
      <c r="G23" t="s">
        <v>52</v>
      </c>
      <c r="H23" t="s">
        <v>26</v>
      </c>
      <c r="I23" t="s">
        <v>27</v>
      </c>
      <c r="J23">
        <v>13556.15</v>
      </c>
      <c r="K23">
        <v>7</v>
      </c>
      <c r="L23">
        <v>0.05</v>
      </c>
      <c r="M23">
        <v>278.41000000000003</v>
      </c>
      <c r="N23" t="s">
        <v>45</v>
      </c>
    </row>
    <row r="24" spans="1:14" x14ac:dyDescent="0.3">
      <c r="A24">
        <v>23</v>
      </c>
      <c r="B24" t="s">
        <v>76</v>
      </c>
      <c r="C24" s="1">
        <v>45818</v>
      </c>
      <c r="D24" t="s">
        <v>77</v>
      </c>
      <c r="E24" t="s">
        <v>23</v>
      </c>
      <c r="F24" t="s">
        <v>56</v>
      </c>
      <c r="G24" t="s">
        <v>43</v>
      </c>
      <c r="H24" t="s">
        <v>26</v>
      </c>
      <c r="I24" t="s">
        <v>78</v>
      </c>
      <c r="J24">
        <v>4591.28</v>
      </c>
      <c r="K24">
        <v>4</v>
      </c>
      <c r="L24">
        <v>0</v>
      </c>
      <c r="M24">
        <v>507.94</v>
      </c>
      <c r="N24" t="s">
        <v>45</v>
      </c>
    </row>
    <row r="25" spans="1:14" x14ac:dyDescent="0.3">
      <c r="A25">
        <v>24</v>
      </c>
      <c r="B25" t="s">
        <v>79</v>
      </c>
      <c r="C25" s="1">
        <v>45693</v>
      </c>
      <c r="D25" t="s">
        <v>15</v>
      </c>
      <c r="E25" t="s">
        <v>16</v>
      </c>
      <c r="F25" t="s">
        <v>17</v>
      </c>
      <c r="G25" t="s">
        <v>17</v>
      </c>
      <c r="H25" t="s">
        <v>18</v>
      </c>
      <c r="I25" t="s">
        <v>66</v>
      </c>
      <c r="J25">
        <v>1041.82</v>
      </c>
      <c r="K25">
        <v>3</v>
      </c>
      <c r="L25">
        <v>0.2</v>
      </c>
      <c r="M25">
        <v>-118.72</v>
      </c>
      <c r="N25" t="s">
        <v>45</v>
      </c>
    </row>
    <row r="26" spans="1:14" x14ac:dyDescent="0.3">
      <c r="A26">
        <v>25</v>
      </c>
      <c r="B26" t="s">
        <v>80</v>
      </c>
      <c r="C26" s="1">
        <v>45994</v>
      </c>
      <c r="D26" t="s">
        <v>61</v>
      </c>
      <c r="E26" t="s">
        <v>48</v>
      </c>
      <c r="F26" t="s">
        <v>51</v>
      </c>
      <c r="G26" t="s">
        <v>52</v>
      </c>
      <c r="H26" t="s">
        <v>26</v>
      </c>
      <c r="I26" t="s">
        <v>73</v>
      </c>
      <c r="J26">
        <v>8768</v>
      </c>
      <c r="K26">
        <v>4</v>
      </c>
      <c r="L26">
        <v>0</v>
      </c>
      <c r="M26">
        <v>1128.6300000000001</v>
      </c>
      <c r="N26" t="s">
        <v>28</v>
      </c>
    </row>
    <row r="27" spans="1:14" x14ac:dyDescent="0.3">
      <c r="A27">
        <v>26</v>
      </c>
      <c r="B27" t="s">
        <v>81</v>
      </c>
      <c r="C27" s="1">
        <v>45662</v>
      </c>
      <c r="D27" t="s">
        <v>47</v>
      </c>
      <c r="E27" t="s">
        <v>16</v>
      </c>
      <c r="F27" t="s">
        <v>31</v>
      </c>
      <c r="G27" t="s">
        <v>32</v>
      </c>
      <c r="H27" t="s">
        <v>26</v>
      </c>
      <c r="I27" t="s">
        <v>78</v>
      </c>
      <c r="J27">
        <v>6057.63</v>
      </c>
      <c r="K27">
        <v>5</v>
      </c>
      <c r="L27">
        <v>0.1</v>
      </c>
      <c r="M27">
        <v>337.72</v>
      </c>
      <c r="N27" t="s">
        <v>20</v>
      </c>
    </row>
    <row r="28" spans="1:14" x14ac:dyDescent="0.3">
      <c r="A28">
        <v>27</v>
      </c>
      <c r="B28" t="s">
        <v>82</v>
      </c>
      <c r="C28" s="1">
        <v>45783</v>
      </c>
      <c r="D28" t="s">
        <v>61</v>
      </c>
      <c r="E28" t="s">
        <v>48</v>
      </c>
      <c r="F28" t="s">
        <v>31</v>
      </c>
      <c r="G28" t="s">
        <v>32</v>
      </c>
      <c r="H28" t="s">
        <v>26</v>
      </c>
      <c r="I28" t="s">
        <v>73</v>
      </c>
      <c r="J28">
        <v>7687.09</v>
      </c>
      <c r="K28">
        <v>4</v>
      </c>
      <c r="L28">
        <v>0.05</v>
      </c>
      <c r="M28">
        <v>2075.2600000000002</v>
      </c>
      <c r="N28" t="s">
        <v>45</v>
      </c>
    </row>
    <row r="29" spans="1:14" x14ac:dyDescent="0.3">
      <c r="A29">
        <v>28</v>
      </c>
      <c r="B29" t="s">
        <v>83</v>
      </c>
      <c r="C29" s="1">
        <v>45997</v>
      </c>
      <c r="D29" t="s">
        <v>15</v>
      </c>
      <c r="E29" t="s">
        <v>23</v>
      </c>
      <c r="F29" t="s">
        <v>37</v>
      </c>
      <c r="G29" t="s">
        <v>32</v>
      </c>
      <c r="H29" t="s">
        <v>18</v>
      </c>
      <c r="I29" t="s">
        <v>84</v>
      </c>
      <c r="J29">
        <v>9252.83</v>
      </c>
      <c r="K29">
        <v>5</v>
      </c>
      <c r="L29">
        <v>0.2</v>
      </c>
      <c r="M29">
        <v>-1355.35</v>
      </c>
      <c r="N29" t="s">
        <v>20</v>
      </c>
    </row>
    <row r="30" spans="1:14" x14ac:dyDescent="0.3">
      <c r="A30">
        <v>29</v>
      </c>
      <c r="B30" t="s">
        <v>85</v>
      </c>
      <c r="C30" s="1">
        <v>45762</v>
      </c>
      <c r="D30" t="s">
        <v>72</v>
      </c>
      <c r="E30" t="s">
        <v>16</v>
      </c>
      <c r="F30" t="s">
        <v>42</v>
      </c>
      <c r="G30" t="s">
        <v>43</v>
      </c>
      <c r="H30" t="s">
        <v>26</v>
      </c>
      <c r="I30" t="s">
        <v>27</v>
      </c>
      <c r="J30">
        <v>4230.75</v>
      </c>
      <c r="K30">
        <v>3</v>
      </c>
      <c r="L30">
        <v>0.2</v>
      </c>
      <c r="M30">
        <v>-233.61</v>
      </c>
      <c r="N30" t="s">
        <v>28</v>
      </c>
    </row>
    <row r="31" spans="1:14" x14ac:dyDescent="0.3">
      <c r="A31">
        <v>30</v>
      </c>
      <c r="B31" t="s">
        <v>86</v>
      </c>
      <c r="C31" s="1">
        <v>45724</v>
      </c>
      <c r="D31" t="s">
        <v>72</v>
      </c>
      <c r="E31" t="s">
        <v>23</v>
      </c>
      <c r="F31" t="s">
        <v>42</v>
      </c>
      <c r="G31" t="s">
        <v>43</v>
      </c>
      <c r="H31" t="s">
        <v>26</v>
      </c>
      <c r="I31" t="s">
        <v>27</v>
      </c>
      <c r="J31">
        <v>9587.41</v>
      </c>
      <c r="K31">
        <v>2</v>
      </c>
      <c r="L31">
        <v>0.1</v>
      </c>
      <c r="M31">
        <v>-1247.9100000000001</v>
      </c>
      <c r="N31" t="s">
        <v>45</v>
      </c>
    </row>
    <row r="32" spans="1:14" x14ac:dyDescent="0.3">
      <c r="A32">
        <v>31</v>
      </c>
      <c r="B32" t="s">
        <v>87</v>
      </c>
      <c r="C32" s="1">
        <v>45956</v>
      </c>
      <c r="D32" t="s">
        <v>54</v>
      </c>
      <c r="E32" t="s">
        <v>48</v>
      </c>
      <c r="F32" t="s">
        <v>42</v>
      </c>
      <c r="G32" t="s">
        <v>43</v>
      </c>
      <c r="H32" t="s">
        <v>18</v>
      </c>
      <c r="I32" t="s">
        <v>66</v>
      </c>
      <c r="J32">
        <v>1855.73</v>
      </c>
      <c r="K32">
        <v>1</v>
      </c>
      <c r="L32">
        <v>0.05</v>
      </c>
      <c r="M32">
        <v>177.25</v>
      </c>
      <c r="N32" t="s">
        <v>20</v>
      </c>
    </row>
    <row r="33" spans="1:14" x14ac:dyDescent="0.3">
      <c r="A33">
        <v>32</v>
      </c>
      <c r="B33" t="s">
        <v>88</v>
      </c>
      <c r="C33" s="1">
        <v>46007</v>
      </c>
      <c r="D33" t="s">
        <v>36</v>
      </c>
      <c r="E33" t="s">
        <v>16</v>
      </c>
      <c r="F33" t="s">
        <v>24</v>
      </c>
      <c r="G33" t="s">
        <v>25</v>
      </c>
      <c r="H33" t="s">
        <v>33</v>
      </c>
      <c r="I33" t="s">
        <v>89</v>
      </c>
      <c r="J33">
        <v>13504.93</v>
      </c>
      <c r="K33">
        <v>6</v>
      </c>
      <c r="L33">
        <v>0</v>
      </c>
      <c r="M33">
        <v>3437.22</v>
      </c>
      <c r="N33" t="s">
        <v>28</v>
      </c>
    </row>
    <row r="34" spans="1:14" x14ac:dyDescent="0.3">
      <c r="A34">
        <v>33</v>
      </c>
      <c r="B34" t="s">
        <v>90</v>
      </c>
      <c r="C34" s="1">
        <v>45741</v>
      </c>
      <c r="D34" t="s">
        <v>54</v>
      </c>
      <c r="E34" t="s">
        <v>48</v>
      </c>
      <c r="F34" t="s">
        <v>24</v>
      </c>
      <c r="G34" t="s">
        <v>25</v>
      </c>
      <c r="H34" t="s">
        <v>18</v>
      </c>
      <c r="I34" t="s">
        <v>59</v>
      </c>
      <c r="J34">
        <v>14612.79</v>
      </c>
      <c r="K34">
        <v>7</v>
      </c>
      <c r="L34">
        <v>0.05</v>
      </c>
      <c r="M34">
        <v>3895.68</v>
      </c>
      <c r="N34" t="s">
        <v>40</v>
      </c>
    </row>
    <row r="35" spans="1:14" x14ac:dyDescent="0.3">
      <c r="A35">
        <v>34</v>
      </c>
      <c r="B35" t="s">
        <v>91</v>
      </c>
      <c r="C35" s="1">
        <v>45794</v>
      </c>
      <c r="D35" t="s">
        <v>54</v>
      </c>
      <c r="E35" t="s">
        <v>16</v>
      </c>
      <c r="F35" t="s">
        <v>24</v>
      </c>
      <c r="G35" t="s">
        <v>25</v>
      </c>
      <c r="H35" t="s">
        <v>18</v>
      </c>
      <c r="I35" t="s">
        <v>59</v>
      </c>
      <c r="J35">
        <v>11779.32</v>
      </c>
      <c r="K35">
        <v>6</v>
      </c>
      <c r="L35">
        <v>0.15</v>
      </c>
      <c r="M35">
        <v>2485.5</v>
      </c>
      <c r="N35" t="s">
        <v>45</v>
      </c>
    </row>
    <row r="36" spans="1:14" x14ac:dyDescent="0.3">
      <c r="A36">
        <v>35</v>
      </c>
      <c r="B36" t="s">
        <v>92</v>
      </c>
      <c r="C36" s="1">
        <v>45772</v>
      </c>
      <c r="D36" t="s">
        <v>77</v>
      </c>
      <c r="E36" t="s">
        <v>16</v>
      </c>
      <c r="F36" t="s">
        <v>24</v>
      </c>
      <c r="G36" t="s">
        <v>25</v>
      </c>
      <c r="H36" t="s">
        <v>26</v>
      </c>
      <c r="I36" t="s">
        <v>73</v>
      </c>
      <c r="J36">
        <v>3492.02</v>
      </c>
      <c r="K36">
        <v>8</v>
      </c>
      <c r="L36">
        <v>0.15</v>
      </c>
      <c r="M36">
        <v>25.65</v>
      </c>
      <c r="N36" t="s">
        <v>45</v>
      </c>
    </row>
    <row r="37" spans="1:14" x14ac:dyDescent="0.3">
      <c r="A37">
        <v>36</v>
      </c>
      <c r="B37" t="s">
        <v>93</v>
      </c>
      <c r="C37" s="1">
        <v>46005</v>
      </c>
      <c r="D37" t="s">
        <v>61</v>
      </c>
      <c r="E37" t="s">
        <v>23</v>
      </c>
      <c r="F37" t="s">
        <v>51</v>
      </c>
      <c r="G37" t="s">
        <v>52</v>
      </c>
      <c r="H37" t="s">
        <v>33</v>
      </c>
      <c r="I37" t="s">
        <v>89</v>
      </c>
      <c r="J37">
        <v>12992.42</v>
      </c>
      <c r="K37">
        <v>5</v>
      </c>
      <c r="L37">
        <v>0.1</v>
      </c>
      <c r="M37">
        <v>104.14</v>
      </c>
      <c r="N37" t="s">
        <v>28</v>
      </c>
    </row>
    <row r="38" spans="1:14" x14ac:dyDescent="0.3">
      <c r="A38">
        <v>37</v>
      </c>
      <c r="B38" t="s">
        <v>94</v>
      </c>
      <c r="C38" s="1">
        <v>45881</v>
      </c>
      <c r="D38" t="s">
        <v>15</v>
      </c>
      <c r="E38" t="s">
        <v>48</v>
      </c>
      <c r="F38" t="s">
        <v>42</v>
      </c>
      <c r="G38" t="s">
        <v>43</v>
      </c>
      <c r="H38" t="s">
        <v>26</v>
      </c>
      <c r="I38" t="s">
        <v>78</v>
      </c>
      <c r="J38">
        <v>766.21</v>
      </c>
      <c r="K38">
        <v>5</v>
      </c>
      <c r="L38">
        <v>0.2</v>
      </c>
      <c r="M38">
        <v>34.9</v>
      </c>
      <c r="N38" t="s">
        <v>40</v>
      </c>
    </row>
    <row r="39" spans="1:14" x14ac:dyDescent="0.3">
      <c r="A39">
        <v>38</v>
      </c>
      <c r="B39" t="s">
        <v>95</v>
      </c>
      <c r="C39" s="1">
        <v>45844</v>
      </c>
      <c r="D39" t="s">
        <v>22</v>
      </c>
      <c r="E39" t="s">
        <v>23</v>
      </c>
      <c r="F39" t="s">
        <v>24</v>
      </c>
      <c r="G39" t="s">
        <v>25</v>
      </c>
      <c r="H39" t="s">
        <v>33</v>
      </c>
      <c r="I39" t="s">
        <v>34</v>
      </c>
      <c r="J39">
        <v>10690.02</v>
      </c>
      <c r="K39">
        <v>1</v>
      </c>
      <c r="L39">
        <v>0</v>
      </c>
      <c r="M39">
        <v>897.58</v>
      </c>
      <c r="N39" t="s">
        <v>28</v>
      </c>
    </row>
    <row r="40" spans="1:14" x14ac:dyDescent="0.3">
      <c r="A40">
        <v>39</v>
      </c>
      <c r="B40" t="s">
        <v>96</v>
      </c>
      <c r="C40" s="1">
        <v>45825</v>
      </c>
      <c r="D40" t="s">
        <v>22</v>
      </c>
      <c r="E40" t="s">
        <v>16</v>
      </c>
      <c r="F40" t="s">
        <v>51</v>
      </c>
      <c r="G40" t="s">
        <v>52</v>
      </c>
      <c r="H40" t="s">
        <v>18</v>
      </c>
      <c r="I40" t="s">
        <v>84</v>
      </c>
      <c r="J40">
        <v>10852.36</v>
      </c>
      <c r="K40">
        <v>2</v>
      </c>
      <c r="L40">
        <v>0.1</v>
      </c>
      <c r="M40">
        <v>848.71</v>
      </c>
      <c r="N40" t="s">
        <v>40</v>
      </c>
    </row>
    <row r="41" spans="1:14" x14ac:dyDescent="0.3">
      <c r="A41">
        <v>40</v>
      </c>
      <c r="B41" t="s">
        <v>97</v>
      </c>
      <c r="C41" s="1">
        <v>45973</v>
      </c>
      <c r="D41" t="s">
        <v>72</v>
      </c>
      <c r="E41" t="s">
        <v>48</v>
      </c>
      <c r="F41" t="s">
        <v>17</v>
      </c>
      <c r="G41" t="s">
        <v>17</v>
      </c>
      <c r="H41" t="s">
        <v>26</v>
      </c>
      <c r="I41" t="s">
        <v>78</v>
      </c>
      <c r="J41">
        <v>10040.959999999999</v>
      </c>
      <c r="K41">
        <v>7</v>
      </c>
      <c r="L41">
        <v>0.15</v>
      </c>
      <c r="M41">
        <v>1554.27</v>
      </c>
      <c r="N41" t="s">
        <v>20</v>
      </c>
    </row>
    <row r="42" spans="1:14" x14ac:dyDescent="0.3">
      <c r="A42">
        <v>41</v>
      </c>
      <c r="B42" t="s">
        <v>98</v>
      </c>
      <c r="C42" s="1">
        <v>45896</v>
      </c>
      <c r="D42" t="s">
        <v>47</v>
      </c>
      <c r="E42" t="s">
        <v>48</v>
      </c>
      <c r="F42" t="s">
        <v>42</v>
      </c>
      <c r="G42" t="s">
        <v>43</v>
      </c>
      <c r="H42" t="s">
        <v>33</v>
      </c>
      <c r="I42" t="s">
        <v>39</v>
      </c>
      <c r="J42">
        <v>3310.7</v>
      </c>
      <c r="K42">
        <v>5</v>
      </c>
      <c r="L42">
        <v>0.2</v>
      </c>
      <c r="M42">
        <v>407.21</v>
      </c>
      <c r="N42" t="s">
        <v>45</v>
      </c>
    </row>
    <row r="43" spans="1:14" x14ac:dyDescent="0.3">
      <c r="A43">
        <v>42</v>
      </c>
      <c r="B43" t="s">
        <v>99</v>
      </c>
      <c r="C43" s="1">
        <v>45705</v>
      </c>
      <c r="D43" t="s">
        <v>36</v>
      </c>
      <c r="E43" t="s">
        <v>16</v>
      </c>
      <c r="F43" t="s">
        <v>42</v>
      </c>
      <c r="G43" t="s">
        <v>43</v>
      </c>
      <c r="H43" t="s">
        <v>18</v>
      </c>
      <c r="I43" t="s">
        <v>84</v>
      </c>
      <c r="J43">
        <v>9950.99</v>
      </c>
      <c r="K43">
        <v>3</v>
      </c>
      <c r="L43">
        <v>0.1</v>
      </c>
      <c r="M43">
        <v>815.52</v>
      </c>
      <c r="N43" t="s">
        <v>40</v>
      </c>
    </row>
    <row r="44" spans="1:14" x14ac:dyDescent="0.3">
      <c r="A44">
        <v>43</v>
      </c>
      <c r="B44" t="s">
        <v>100</v>
      </c>
      <c r="C44" s="1">
        <v>45891</v>
      </c>
      <c r="D44" t="s">
        <v>22</v>
      </c>
      <c r="E44" t="s">
        <v>16</v>
      </c>
      <c r="F44" t="s">
        <v>31</v>
      </c>
      <c r="G44" t="s">
        <v>32</v>
      </c>
      <c r="H44" t="s">
        <v>26</v>
      </c>
      <c r="I44" t="s">
        <v>78</v>
      </c>
      <c r="J44">
        <v>561.5</v>
      </c>
      <c r="K44">
        <v>3</v>
      </c>
      <c r="L44">
        <v>0.05</v>
      </c>
      <c r="M44">
        <v>164.39</v>
      </c>
      <c r="N44" t="s">
        <v>40</v>
      </c>
    </row>
    <row r="45" spans="1:14" x14ac:dyDescent="0.3">
      <c r="A45">
        <v>44</v>
      </c>
      <c r="B45" t="s">
        <v>101</v>
      </c>
      <c r="C45" s="1">
        <v>45712</v>
      </c>
      <c r="D45" t="s">
        <v>22</v>
      </c>
      <c r="E45" t="s">
        <v>23</v>
      </c>
      <c r="F45" t="s">
        <v>56</v>
      </c>
      <c r="G45" t="s">
        <v>43</v>
      </c>
      <c r="H45" t="s">
        <v>18</v>
      </c>
      <c r="I45" t="s">
        <v>66</v>
      </c>
      <c r="J45">
        <v>7516.78</v>
      </c>
      <c r="K45">
        <v>7</v>
      </c>
      <c r="L45">
        <v>0.05</v>
      </c>
      <c r="M45">
        <v>-628.35</v>
      </c>
      <c r="N45" t="s">
        <v>45</v>
      </c>
    </row>
    <row r="46" spans="1:14" x14ac:dyDescent="0.3">
      <c r="A46">
        <v>45</v>
      </c>
      <c r="B46" t="s">
        <v>102</v>
      </c>
      <c r="C46" s="1">
        <v>45999</v>
      </c>
      <c r="D46" t="s">
        <v>61</v>
      </c>
      <c r="E46" t="s">
        <v>48</v>
      </c>
      <c r="F46" t="s">
        <v>68</v>
      </c>
      <c r="G46" t="s">
        <v>69</v>
      </c>
      <c r="H46" t="s">
        <v>26</v>
      </c>
      <c r="I46" t="s">
        <v>78</v>
      </c>
      <c r="J46">
        <v>13778.56</v>
      </c>
      <c r="K46">
        <v>4</v>
      </c>
      <c r="L46">
        <v>0</v>
      </c>
      <c r="M46">
        <v>763.44</v>
      </c>
      <c r="N46" t="s">
        <v>45</v>
      </c>
    </row>
    <row r="47" spans="1:14" x14ac:dyDescent="0.3">
      <c r="A47">
        <v>46</v>
      </c>
      <c r="B47" t="s">
        <v>103</v>
      </c>
      <c r="C47" s="1">
        <v>45984</v>
      </c>
      <c r="D47" t="s">
        <v>72</v>
      </c>
      <c r="E47" t="s">
        <v>16</v>
      </c>
      <c r="F47" t="s">
        <v>24</v>
      </c>
      <c r="G47" t="s">
        <v>25</v>
      </c>
      <c r="H47" t="s">
        <v>18</v>
      </c>
      <c r="I47" t="s">
        <v>19</v>
      </c>
      <c r="J47">
        <v>13478.68</v>
      </c>
      <c r="K47">
        <v>8</v>
      </c>
      <c r="L47">
        <v>0.15</v>
      </c>
      <c r="M47">
        <v>708.05</v>
      </c>
      <c r="N47" t="s">
        <v>40</v>
      </c>
    </row>
    <row r="48" spans="1:14" x14ac:dyDescent="0.3">
      <c r="A48">
        <v>47</v>
      </c>
      <c r="B48" t="s">
        <v>104</v>
      </c>
      <c r="C48" s="1">
        <v>45821</v>
      </c>
      <c r="D48" t="s">
        <v>15</v>
      </c>
      <c r="E48" t="s">
        <v>23</v>
      </c>
      <c r="F48" t="s">
        <v>42</v>
      </c>
      <c r="G48" t="s">
        <v>43</v>
      </c>
      <c r="H48" t="s">
        <v>33</v>
      </c>
      <c r="I48" t="s">
        <v>39</v>
      </c>
      <c r="J48">
        <v>1346.75</v>
      </c>
      <c r="K48">
        <v>8</v>
      </c>
      <c r="L48">
        <v>0.1</v>
      </c>
      <c r="M48">
        <v>-59.9</v>
      </c>
      <c r="N48" t="s">
        <v>40</v>
      </c>
    </row>
    <row r="49" spans="1:14" x14ac:dyDescent="0.3">
      <c r="A49">
        <v>48</v>
      </c>
      <c r="B49" t="s">
        <v>105</v>
      </c>
      <c r="C49" s="1">
        <v>45935</v>
      </c>
      <c r="D49" t="s">
        <v>47</v>
      </c>
      <c r="E49" t="s">
        <v>48</v>
      </c>
      <c r="F49" t="s">
        <v>42</v>
      </c>
      <c r="G49" t="s">
        <v>43</v>
      </c>
      <c r="H49" t="s">
        <v>33</v>
      </c>
      <c r="I49" t="s">
        <v>89</v>
      </c>
      <c r="J49">
        <v>10655</v>
      </c>
      <c r="K49">
        <v>3</v>
      </c>
      <c r="L49">
        <v>0</v>
      </c>
      <c r="M49">
        <v>390.94</v>
      </c>
      <c r="N49" t="s">
        <v>40</v>
      </c>
    </row>
    <row r="50" spans="1:14" x14ac:dyDescent="0.3">
      <c r="A50">
        <v>49</v>
      </c>
      <c r="B50" t="s">
        <v>106</v>
      </c>
      <c r="C50" s="1">
        <v>45952</v>
      </c>
      <c r="D50" t="s">
        <v>22</v>
      </c>
      <c r="E50" t="s">
        <v>48</v>
      </c>
      <c r="F50" t="s">
        <v>56</v>
      </c>
      <c r="G50" t="s">
        <v>43</v>
      </c>
      <c r="H50" t="s">
        <v>33</v>
      </c>
      <c r="I50" t="s">
        <v>89</v>
      </c>
      <c r="J50">
        <v>13591.61</v>
      </c>
      <c r="K50">
        <v>7</v>
      </c>
      <c r="L50">
        <v>0.2</v>
      </c>
      <c r="M50">
        <v>3747.59</v>
      </c>
      <c r="N50" t="s">
        <v>28</v>
      </c>
    </row>
    <row r="51" spans="1:14" x14ac:dyDescent="0.3">
      <c r="A51">
        <v>50</v>
      </c>
      <c r="B51" t="s">
        <v>107</v>
      </c>
      <c r="C51" s="1">
        <v>45907</v>
      </c>
      <c r="D51" t="s">
        <v>36</v>
      </c>
      <c r="E51" t="s">
        <v>48</v>
      </c>
      <c r="F51" t="s">
        <v>24</v>
      </c>
      <c r="G51" t="s">
        <v>25</v>
      </c>
      <c r="H51" t="s">
        <v>33</v>
      </c>
      <c r="I51" t="s">
        <v>49</v>
      </c>
      <c r="J51">
        <v>12831.03</v>
      </c>
      <c r="K51">
        <v>7</v>
      </c>
      <c r="L51">
        <v>0.15</v>
      </c>
      <c r="M51">
        <v>1183.01</v>
      </c>
      <c r="N51" t="s">
        <v>45</v>
      </c>
    </row>
    <row r="52" spans="1:14" x14ac:dyDescent="0.3">
      <c r="A52">
        <v>51</v>
      </c>
      <c r="B52" t="s">
        <v>108</v>
      </c>
      <c r="C52" s="1">
        <v>45723</v>
      </c>
      <c r="D52" t="s">
        <v>77</v>
      </c>
      <c r="E52" t="s">
        <v>48</v>
      </c>
      <c r="F52" t="s">
        <v>68</v>
      </c>
      <c r="G52" t="s">
        <v>69</v>
      </c>
      <c r="H52" t="s">
        <v>26</v>
      </c>
      <c r="I52" t="s">
        <v>78</v>
      </c>
      <c r="J52">
        <v>5174.72</v>
      </c>
      <c r="K52">
        <v>7</v>
      </c>
      <c r="L52">
        <v>0.15</v>
      </c>
      <c r="M52">
        <v>910.14</v>
      </c>
      <c r="N52" t="s">
        <v>20</v>
      </c>
    </row>
    <row r="53" spans="1:14" x14ac:dyDescent="0.3">
      <c r="A53">
        <v>52</v>
      </c>
      <c r="B53" t="s">
        <v>109</v>
      </c>
      <c r="C53" s="1">
        <v>45852</v>
      </c>
      <c r="D53" t="s">
        <v>61</v>
      </c>
      <c r="E53" t="s">
        <v>23</v>
      </c>
      <c r="F53" t="s">
        <v>37</v>
      </c>
      <c r="G53" t="s">
        <v>32</v>
      </c>
      <c r="H53" t="s">
        <v>26</v>
      </c>
      <c r="I53" t="s">
        <v>27</v>
      </c>
      <c r="J53">
        <v>2208.35</v>
      </c>
      <c r="K53">
        <v>7</v>
      </c>
      <c r="L53">
        <v>0.15</v>
      </c>
      <c r="M53">
        <v>-150.66</v>
      </c>
      <c r="N53" t="s">
        <v>28</v>
      </c>
    </row>
    <row r="54" spans="1:14" x14ac:dyDescent="0.3">
      <c r="A54">
        <v>53</v>
      </c>
      <c r="B54" t="s">
        <v>110</v>
      </c>
      <c r="C54" s="1">
        <v>45898</v>
      </c>
      <c r="D54" t="s">
        <v>77</v>
      </c>
      <c r="E54" t="s">
        <v>16</v>
      </c>
      <c r="F54" t="s">
        <v>31</v>
      </c>
      <c r="G54" t="s">
        <v>32</v>
      </c>
      <c r="H54" t="s">
        <v>33</v>
      </c>
      <c r="I54" t="s">
        <v>57</v>
      </c>
      <c r="J54">
        <v>4318.2</v>
      </c>
      <c r="K54">
        <v>7</v>
      </c>
      <c r="L54">
        <v>0.15</v>
      </c>
      <c r="M54">
        <v>-157.52000000000001</v>
      </c>
      <c r="N54" t="s">
        <v>20</v>
      </c>
    </row>
    <row r="55" spans="1:14" x14ac:dyDescent="0.3">
      <c r="A55">
        <v>54</v>
      </c>
      <c r="B55" t="s">
        <v>111</v>
      </c>
      <c r="C55" s="1">
        <v>45760</v>
      </c>
      <c r="D55" t="s">
        <v>77</v>
      </c>
      <c r="E55" t="s">
        <v>16</v>
      </c>
      <c r="F55" t="s">
        <v>24</v>
      </c>
      <c r="G55" t="s">
        <v>25</v>
      </c>
      <c r="H55" t="s">
        <v>33</v>
      </c>
      <c r="I55" t="s">
        <v>39</v>
      </c>
      <c r="J55">
        <v>9822.1299999999992</v>
      </c>
      <c r="K55">
        <v>4</v>
      </c>
      <c r="L55">
        <v>0</v>
      </c>
      <c r="M55">
        <v>1860.36</v>
      </c>
      <c r="N55" t="s">
        <v>40</v>
      </c>
    </row>
    <row r="56" spans="1:14" x14ac:dyDescent="0.3">
      <c r="A56">
        <v>55</v>
      </c>
      <c r="B56" t="s">
        <v>112</v>
      </c>
      <c r="C56" s="1">
        <v>46016</v>
      </c>
      <c r="D56" t="s">
        <v>72</v>
      </c>
      <c r="E56" t="s">
        <v>48</v>
      </c>
      <c r="F56" t="s">
        <v>68</v>
      </c>
      <c r="G56" t="s">
        <v>69</v>
      </c>
      <c r="H56" t="s">
        <v>26</v>
      </c>
      <c r="I56" t="s">
        <v>73</v>
      </c>
      <c r="J56">
        <v>10107.99</v>
      </c>
      <c r="K56">
        <v>8</v>
      </c>
      <c r="L56">
        <v>0.2</v>
      </c>
      <c r="M56">
        <v>2794.76</v>
      </c>
      <c r="N56" t="s">
        <v>20</v>
      </c>
    </row>
    <row r="57" spans="1:14" x14ac:dyDescent="0.3">
      <c r="A57">
        <v>56</v>
      </c>
      <c r="B57" t="s">
        <v>113</v>
      </c>
      <c r="C57" s="1">
        <v>45861</v>
      </c>
      <c r="D57" t="s">
        <v>36</v>
      </c>
      <c r="E57" t="s">
        <v>23</v>
      </c>
      <c r="F57" t="s">
        <v>51</v>
      </c>
      <c r="G57" t="s">
        <v>52</v>
      </c>
      <c r="H57" t="s">
        <v>26</v>
      </c>
      <c r="I57" t="s">
        <v>78</v>
      </c>
      <c r="J57">
        <v>1799.86</v>
      </c>
      <c r="K57">
        <v>5</v>
      </c>
      <c r="L57">
        <v>0</v>
      </c>
      <c r="M57">
        <v>482.36</v>
      </c>
      <c r="N57" t="s">
        <v>40</v>
      </c>
    </row>
    <row r="58" spans="1:14" x14ac:dyDescent="0.3">
      <c r="A58">
        <v>57</v>
      </c>
      <c r="B58" t="s">
        <v>114</v>
      </c>
      <c r="C58" s="1">
        <v>45835</v>
      </c>
      <c r="D58" t="s">
        <v>22</v>
      </c>
      <c r="E58" t="s">
        <v>16</v>
      </c>
      <c r="F58" t="s">
        <v>56</v>
      </c>
      <c r="G58" t="s">
        <v>43</v>
      </c>
      <c r="H58" t="s">
        <v>26</v>
      </c>
      <c r="I58" t="s">
        <v>44</v>
      </c>
      <c r="J58">
        <v>12784.34</v>
      </c>
      <c r="K58">
        <v>5</v>
      </c>
      <c r="L58">
        <v>0.2</v>
      </c>
      <c r="M58">
        <v>2716.51</v>
      </c>
      <c r="N58" t="s">
        <v>20</v>
      </c>
    </row>
    <row r="59" spans="1:14" x14ac:dyDescent="0.3">
      <c r="A59">
        <v>58</v>
      </c>
      <c r="B59" t="s">
        <v>115</v>
      </c>
      <c r="C59" s="1">
        <v>45879</v>
      </c>
      <c r="D59" t="s">
        <v>61</v>
      </c>
      <c r="E59" t="s">
        <v>16</v>
      </c>
      <c r="F59" t="s">
        <v>31</v>
      </c>
      <c r="G59" t="s">
        <v>32</v>
      </c>
      <c r="H59" t="s">
        <v>18</v>
      </c>
      <c r="I59" t="s">
        <v>19</v>
      </c>
      <c r="J59">
        <v>387.25</v>
      </c>
      <c r="K59">
        <v>6</v>
      </c>
      <c r="L59">
        <v>0.15</v>
      </c>
      <c r="M59">
        <v>85.21</v>
      </c>
      <c r="N59" t="s">
        <v>40</v>
      </c>
    </row>
    <row r="60" spans="1:14" x14ac:dyDescent="0.3">
      <c r="A60">
        <v>59</v>
      </c>
      <c r="B60" t="s">
        <v>116</v>
      </c>
      <c r="C60" s="1">
        <v>45896</v>
      </c>
      <c r="D60" t="s">
        <v>22</v>
      </c>
      <c r="E60" t="s">
        <v>16</v>
      </c>
      <c r="F60" t="s">
        <v>68</v>
      </c>
      <c r="G60" t="s">
        <v>69</v>
      </c>
      <c r="H60" t="s">
        <v>33</v>
      </c>
      <c r="I60" t="s">
        <v>57</v>
      </c>
      <c r="J60">
        <v>11060.17</v>
      </c>
      <c r="K60">
        <v>3</v>
      </c>
      <c r="L60">
        <v>0.1</v>
      </c>
      <c r="M60">
        <v>1406.42</v>
      </c>
      <c r="N60" t="s">
        <v>28</v>
      </c>
    </row>
    <row r="61" spans="1:14" x14ac:dyDescent="0.3">
      <c r="A61">
        <v>60</v>
      </c>
      <c r="B61" t="s">
        <v>117</v>
      </c>
      <c r="C61" s="1">
        <v>45782</v>
      </c>
      <c r="D61" t="s">
        <v>47</v>
      </c>
      <c r="E61" t="s">
        <v>16</v>
      </c>
      <c r="F61" t="s">
        <v>68</v>
      </c>
      <c r="G61" t="s">
        <v>69</v>
      </c>
      <c r="H61" t="s">
        <v>33</v>
      </c>
      <c r="I61" t="s">
        <v>57</v>
      </c>
      <c r="J61">
        <v>12494.82</v>
      </c>
      <c r="K61">
        <v>4</v>
      </c>
      <c r="L61">
        <v>0</v>
      </c>
      <c r="M61">
        <v>-305.89999999999998</v>
      </c>
      <c r="N61" t="s">
        <v>45</v>
      </c>
    </row>
    <row r="62" spans="1:14" x14ac:dyDescent="0.3">
      <c r="A62">
        <v>61</v>
      </c>
      <c r="B62" t="s">
        <v>118</v>
      </c>
      <c r="C62" s="1">
        <v>45839</v>
      </c>
      <c r="D62" t="s">
        <v>72</v>
      </c>
      <c r="E62" t="s">
        <v>48</v>
      </c>
      <c r="F62" t="s">
        <v>24</v>
      </c>
      <c r="G62" t="s">
        <v>25</v>
      </c>
      <c r="H62" t="s">
        <v>33</v>
      </c>
      <c r="I62" t="s">
        <v>34</v>
      </c>
      <c r="J62">
        <v>7515.74</v>
      </c>
      <c r="K62">
        <v>1</v>
      </c>
      <c r="L62">
        <v>0.1</v>
      </c>
      <c r="M62">
        <v>-512.36</v>
      </c>
      <c r="N62" t="s">
        <v>28</v>
      </c>
    </row>
    <row r="63" spans="1:14" x14ac:dyDescent="0.3">
      <c r="A63">
        <v>62</v>
      </c>
      <c r="B63" t="s">
        <v>119</v>
      </c>
      <c r="C63" s="1">
        <v>45908</v>
      </c>
      <c r="D63" t="s">
        <v>36</v>
      </c>
      <c r="E63" t="s">
        <v>16</v>
      </c>
      <c r="F63" t="s">
        <v>51</v>
      </c>
      <c r="G63" t="s">
        <v>52</v>
      </c>
      <c r="H63" t="s">
        <v>18</v>
      </c>
      <c r="I63" t="s">
        <v>19</v>
      </c>
      <c r="J63">
        <v>7846.08</v>
      </c>
      <c r="K63">
        <v>1</v>
      </c>
      <c r="L63">
        <v>0.05</v>
      </c>
      <c r="M63">
        <v>-874.64</v>
      </c>
      <c r="N63" t="s">
        <v>45</v>
      </c>
    </row>
    <row r="64" spans="1:14" x14ac:dyDescent="0.3">
      <c r="A64">
        <v>63</v>
      </c>
      <c r="B64" t="s">
        <v>120</v>
      </c>
      <c r="C64" s="1">
        <v>45814</v>
      </c>
      <c r="D64" t="s">
        <v>61</v>
      </c>
      <c r="E64" t="s">
        <v>48</v>
      </c>
      <c r="F64" t="s">
        <v>24</v>
      </c>
      <c r="G64" t="s">
        <v>25</v>
      </c>
      <c r="H64" t="s">
        <v>33</v>
      </c>
      <c r="I64" t="s">
        <v>57</v>
      </c>
      <c r="J64">
        <v>1577.19</v>
      </c>
      <c r="K64">
        <v>1</v>
      </c>
      <c r="L64">
        <v>0.05</v>
      </c>
      <c r="M64">
        <v>50.44</v>
      </c>
      <c r="N64" t="s">
        <v>28</v>
      </c>
    </row>
    <row r="65" spans="1:14" x14ac:dyDescent="0.3">
      <c r="A65">
        <v>64</v>
      </c>
      <c r="B65" t="s">
        <v>121</v>
      </c>
      <c r="C65" s="1">
        <v>45776</v>
      </c>
      <c r="D65" t="s">
        <v>15</v>
      </c>
      <c r="E65" t="s">
        <v>16</v>
      </c>
      <c r="F65" t="s">
        <v>37</v>
      </c>
      <c r="G65" t="s">
        <v>32</v>
      </c>
      <c r="H65" t="s">
        <v>33</v>
      </c>
      <c r="I65" t="s">
        <v>39</v>
      </c>
      <c r="J65">
        <v>5406.8</v>
      </c>
      <c r="K65">
        <v>6</v>
      </c>
      <c r="L65">
        <v>0.15</v>
      </c>
      <c r="M65">
        <v>-151.86000000000001</v>
      </c>
      <c r="N65" t="s">
        <v>28</v>
      </c>
    </row>
    <row r="66" spans="1:14" x14ac:dyDescent="0.3">
      <c r="A66">
        <v>65</v>
      </c>
      <c r="B66" t="s">
        <v>122</v>
      </c>
      <c r="C66" s="1">
        <v>45709</v>
      </c>
      <c r="D66" t="s">
        <v>36</v>
      </c>
      <c r="E66" t="s">
        <v>48</v>
      </c>
      <c r="F66" t="s">
        <v>37</v>
      </c>
      <c r="G66" t="s">
        <v>32</v>
      </c>
      <c r="H66" t="s">
        <v>26</v>
      </c>
      <c r="I66" t="s">
        <v>73</v>
      </c>
      <c r="J66">
        <v>3034.81</v>
      </c>
      <c r="K66">
        <v>3</v>
      </c>
      <c r="L66">
        <v>0.15</v>
      </c>
      <c r="M66">
        <v>-77.62</v>
      </c>
      <c r="N66" t="s">
        <v>28</v>
      </c>
    </row>
    <row r="67" spans="1:14" x14ac:dyDescent="0.3">
      <c r="A67">
        <v>66</v>
      </c>
      <c r="B67" t="s">
        <v>123</v>
      </c>
      <c r="C67" s="1">
        <v>45685</v>
      </c>
      <c r="D67" t="s">
        <v>72</v>
      </c>
      <c r="E67" t="s">
        <v>16</v>
      </c>
      <c r="F67" t="s">
        <v>56</v>
      </c>
      <c r="G67" t="s">
        <v>43</v>
      </c>
      <c r="H67" t="s">
        <v>26</v>
      </c>
      <c r="I67" t="s">
        <v>73</v>
      </c>
      <c r="J67">
        <v>409.4</v>
      </c>
      <c r="K67">
        <v>5</v>
      </c>
      <c r="L67">
        <v>0.2</v>
      </c>
      <c r="M67">
        <v>-38.090000000000003</v>
      </c>
      <c r="N67" t="s">
        <v>45</v>
      </c>
    </row>
    <row r="68" spans="1:14" x14ac:dyDescent="0.3">
      <c r="A68">
        <v>67</v>
      </c>
      <c r="B68" t="s">
        <v>124</v>
      </c>
      <c r="C68" s="1">
        <v>45752</v>
      </c>
      <c r="D68" t="s">
        <v>77</v>
      </c>
      <c r="E68" t="s">
        <v>48</v>
      </c>
      <c r="F68" t="s">
        <v>42</v>
      </c>
      <c r="G68" t="s">
        <v>43</v>
      </c>
      <c r="H68" t="s">
        <v>26</v>
      </c>
      <c r="I68" t="s">
        <v>27</v>
      </c>
      <c r="J68">
        <v>8696.15</v>
      </c>
      <c r="K68">
        <v>1</v>
      </c>
      <c r="L68">
        <v>0.15</v>
      </c>
      <c r="M68">
        <v>568.91</v>
      </c>
      <c r="N68" t="s">
        <v>20</v>
      </c>
    </row>
    <row r="69" spans="1:14" x14ac:dyDescent="0.3">
      <c r="A69">
        <v>68</v>
      </c>
      <c r="B69" t="s">
        <v>125</v>
      </c>
      <c r="C69" s="1">
        <v>45735</v>
      </c>
      <c r="D69" t="s">
        <v>54</v>
      </c>
      <c r="E69" t="s">
        <v>16</v>
      </c>
      <c r="F69" t="s">
        <v>56</v>
      </c>
      <c r="G69" t="s">
        <v>43</v>
      </c>
      <c r="H69" t="s">
        <v>26</v>
      </c>
      <c r="I69" t="s">
        <v>44</v>
      </c>
      <c r="J69">
        <v>7477.85</v>
      </c>
      <c r="K69">
        <v>7</v>
      </c>
      <c r="L69">
        <v>0.2</v>
      </c>
      <c r="M69">
        <v>996.43</v>
      </c>
      <c r="N69" t="s">
        <v>20</v>
      </c>
    </row>
    <row r="70" spans="1:14" x14ac:dyDescent="0.3">
      <c r="A70">
        <v>69</v>
      </c>
      <c r="B70" t="s">
        <v>126</v>
      </c>
      <c r="C70" s="1">
        <v>45925</v>
      </c>
      <c r="D70" t="s">
        <v>22</v>
      </c>
      <c r="E70" t="s">
        <v>48</v>
      </c>
      <c r="F70" t="s">
        <v>24</v>
      </c>
      <c r="G70" t="s">
        <v>25</v>
      </c>
      <c r="H70" t="s">
        <v>26</v>
      </c>
      <c r="I70" t="s">
        <v>27</v>
      </c>
      <c r="J70">
        <v>8459.48</v>
      </c>
      <c r="K70">
        <v>2</v>
      </c>
      <c r="L70">
        <v>0.15</v>
      </c>
      <c r="M70">
        <v>1039.19</v>
      </c>
      <c r="N70" t="s">
        <v>28</v>
      </c>
    </row>
    <row r="71" spans="1:14" x14ac:dyDescent="0.3">
      <c r="A71">
        <v>70</v>
      </c>
      <c r="B71" t="s">
        <v>127</v>
      </c>
      <c r="C71" s="1">
        <v>45764</v>
      </c>
      <c r="D71" t="s">
        <v>36</v>
      </c>
      <c r="E71" t="s">
        <v>48</v>
      </c>
      <c r="F71" t="s">
        <v>31</v>
      </c>
      <c r="G71" t="s">
        <v>32</v>
      </c>
      <c r="H71" t="s">
        <v>18</v>
      </c>
      <c r="I71" t="s">
        <v>59</v>
      </c>
      <c r="J71">
        <v>4719.63</v>
      </c>
      <c r="K71">
        <v>7</v>
      </c>
      <c r="L71">
        <v>0.2</v>
      </c>
      <c r="M71">
        <v>-580.03</v>
      </c>
      <c r="N71" t="s">
        <v>40</v>
      </c>
    </row>
    <row r="72" spans="1:14" x14ac:dyDescent="0.3">
      <c r="A72">
        <v>71</v>
      </c>
      <c r="B72" t="s">
        <v>128</v>
      </c>
      <c r="C72" s="1">
        <v>46010</v>
      </c>
      <c r="D72" t="s">
        <v>47</v>
      </c>
      <c r="E72" t="s">
        <v>48</v>
      </c>
      <c r="F72" t="s">
        <v>68</v>
      </c>
      <c r="G72" t="s">
        <v>69</v>
      </c>
      <c r="H72" t="s">
        <v>26</v>
      </c>
      <c r="I72" t="s">
        <v>129</v>
      </c>
      <c r="J72">
        <v>8369.49</v>
      </c>
      <c r="K72">
        <v>3</v>
      </c>
      <c r="L72">
        <v>0.05</v>
      </c>
      <c r="M72">
        <v>-1245.3499999999999</v>
      </c>
      <c r="N72" t="s">
        <v>40</v>
      </c>
    </row>
    <row r="73" spans="1:14" x14ac:dyDescent="0.3">
      <c r="A73">
        <v>72</v>
      </c>
      <c r="B73" t="s">
        <v>130</v>
      </c>
      <c r="C73" s="1">
        <v>45793</v>
      </c>
      <c r="D73" t="s">
        <v>36</v>
      </c>
      <c r="E73" t="s">
        <v>48</v>
      </c>
      <c r="F73" t="s">
        <v>24</v>
      </c>
      <c r="G73" t="s">
        <v>25</v>
      </c>
      <c r="H73" t="s">
        <v>33</v>
      </c>
      <c r="I73" t="s">
        <v>89</v>
      </c>
      <c r="J73">
        <v>10604.22</v>
      </c>
      <c r="K73">
        <v>5</v>
      </c>
      <c r="L73">
        <v>0.15</v>
      </c>
      <c r="M73">
        <v>-1250.97</v>
      </c>
      <c r="N73" t="s">
        <v>40</v>
      </c>
    </row>
    <row r="74" spans="1:14" x14ac:dyDescent="0.3">
      <c r="A74">
        <v>73</v>
      </c>
      <c r="B74" t="s">
        <v>131</v>
      </c>
      <c r="C74" s="1">
        <v>45815</v>
      </c>
      <c r="D74" t="s">
        <v>72</v>
      </c>
      <c r="E74" t="s">
        <v>48</v>
      </c>
      <c r="F74" t="s">
        <v>17</v>
      </c>
      <c r="G74" t="s">
        <v>17</v>
      </c>
      <c r="H74" t="s">
        <v>18</v>
      </c>
      <c r="I74" t="s">
        <v>59</v>
      </c>
      <c r="J74">
        <v>13644.49</v>
      </c>
      <c r="K74">
        <v>3</v>
      </c>
      <c r="L74">
        <v>0.05</v>
      </c>
      <c r="M74">
        <v>-1608.22</v>
      </c>
      <c r="N74" t="s">
        <v>45</v>
      </c>
    </row>
    <row r="75" spans="1:14" x14ac:dyDescent="0.3">
      <c r="A75">
        <v>74</v>
      </c>
      <c r="B75" t="s">
        <v>132</v>
      </c>
      <c r="C75" s="1">
        <v>45882</v>
      </c>
      <c r="D75" t="s">
        <v>15</v>
      </c>
      <c r="E75" t="s">
        <v>16</v>
      </c>
      <c r="F75" t="s">
        <v>68</v>
      </c>
      <c r="G75" t="s">
        <v>69</v>
      </c>
      <c r="H75" t="s">
        <v>18</v>
      </c>
      <c r="I75" t="s">
        <v>59</v>
      </c>
      <c r="J75">
        <v>10556.06</v>
      </c>
      <c r="K75">
        <v>5</v>
      </c>
      <c r="L75">
        <v>0.1</v>
      </c>
      <c r="M75">
        <v>793.95</v>
      </c>
      <c r="N75" t="s">
        <v>45</v>
      </c>
    </row>
    <row r="76" spans="1:14" x14ac:dyDescent="0.3">
      <c r="A76">
        <v>75</v>
      </c>
      <c r="B76" t="s">
        <v>133</v>
      </c>
      <c r="C76" s="1">
        <v>46002</v>
      </c>
      <c r="D76" t="s">
        <v>72</v>
      </c>
      <c r="E76" t="s">
        <v>16</v>
      </c>
      <c r="F76" t="s">
        <v>56</v>
      </c>
      <c r="G76" t="s">
        <v>43</v>
      </c>
      <c r="H76" t="s">
        <v>18</v>
      </c>
      <c r="I76" t="s">
        <v>59</v>
      </c>
      <c r="J76">
        <v>9134.9599999999991</v>
      </c>
      <c r="K76">
        <v>6</v>
      </c>
      <c r="L76">
        <v>0</v>
      </c>
      <c r="M76">
        <v>-994.82</v>
      </c>
      <c r="N76" t="s">
        <v>40</v>
      </c>
    </row>
    <row r="77" spans="1:14" x14ac:dyDescent="0.3">
      <c r="A77">
        <v>76</v>
      </c>
      <c r="B77" t="s">
        <v>134</v>
      </c>
      <c r="C77" s="1">
        <v>45983</v>
      </c>
      <c r="D77" t="s">
        <v>47</v>
      </c>
      <c r="E77" t="s">
        <v>23</v>
      </c>
      <c r="F77" t="s">
        <v>51</v>
      </c>
      <c r="G77" t="s">
        <v>52</v>
      </c>
      <c r="H77" t="s">
        <v>33</v>
      </c>
      <c r="I77" t="s">
        <v>49</v>
      </c>
      <c r="J77">
        <v>13757.88</v>
      </c>
      <c r="K77">
        <v>8</v>
      </c>
      <c r="L77">
        <v>0.05</v>
      </c>
      <c r="M77">
        <v>4108.45</v>
      </c>
      <c r="N77" t="s">
        <v>28</v>
      </c>
    </row>
    <row r="78" spans="1:14" x14ac:dyDescent="0.3">
      <c r="A78">
        <v>77</v>
      </c>
      <c r="B78" t="s">
        <v>135</v>
      </c>
      <c r="C78" s="1">
        <v>45868</v>
      </c>
      <c r="D78" t="s">
        <v>47</v>
      </c>
      <c r="E78" t="s">
        <v>48</v>
      </c>
      <c r="F78" t="s">
        <v>42</v>
      </c>
      <c r="G78" t="s">
        <v>43</v>
      </c>
      <c r="H78" t="s">
        <v>33</v>
      </c>
      <c r="I78" t="s">
        <v>49</v>
      </c>
      <c r="J78">
        <v>4951.66</v>
      </c>
      <c r="K78">
        <v>6</v>
      </c>
      <c r="L78">
        <v>0</v>
      </c>
      <c r="M78">
        <v>1168.49</v>
      </c>
      <c r="N78" t="s">
        <v>20</v>
      </c>
    </row>
    <row r="79" spans="1:14" x14ac:dyDescent="0.3">
      <c r="A79">
        <v>78</v>
      </c>
      <c r="B79" t="s">
        <v>136</v>
      </c>
      <c r="C79" s="1">
        <v>45921</v>
      </c>
      <c r="D79" t="s">
        <v>77</v>
      </c>
      <c r="E79" t="s">
        <v>16</v>
      </c>
      <c r="F79" t="s">
        <v>51</v>
      </c>
      <c r="G79" t="s">
        <v>52</v>
      </c>
      <c r="H79" t="s">
        <v>33</v>
      </c>
      <c r="I79" t="s">
        <v>57</v>
      </c>
      <c r="J79">
        <v>4854.8500000000004</v>
      </c>
      <c r="K79">
        <v>2</v>
      </c>
      <c r="L79">
        <v>0.1</v>
      </c>
      <c r="M79">
        <v>-474.98</v>
      </c>
      <c r="N79" t="s">
        <v>45</v>
      </c>
    </row>
    <row r="80" spans="1:14" x14ac:dyDescent="0.3">
      <c r="A80">
        <v>79</v>
      </c>
      <c r="B80" t="s">
        <v>137</v>
      </c>
      <c r="C80" s="1">
        <v>45978</v>
      </c>
      <c r="D80" t="s">
        <v>47</v>
      </c>
      <c r="E80" t="s">
        <v>23</v>
      </c>
      <c r="F80" t="s">
        <v>68</v>
      </c>
      <c r="G80" t="s">
        <v>69</v>
      </c>
      <c r="H80" t="s">
        <v>33</v>
      </c>
      <c r="I80" t="s">
        <v>39</v>
      </c>
      <c r="J80">
        <v>2976.22</v>
      </c>
      <c r="K80">
        <v>1</v>
      </c>
      <c r="L80">
        <v>0.1</v>
      </c>
      <c r="M80">
        <v>387.46</v>
      </c>
      <c r="N80" t="s">
        <v>28</v>
      </c>
    </row>
    <row r="81" spans="1:14" x14ac:dyDescent="0.3">
      <c r="A81">
        <v>80</v>
      </c>
      <c r="B81" t="s">
        <v>138</v>
      </c>
      <c r="C81" s="1">
        <v>45720</v>
      </c>
      <c r="D81" t="s">
        <v>77</v>
      </c>
      <c r="E81" t="s">
        <v>16</v>
      </c>
      <c r="F81" t="s">
        <v>68</v>
      </c>
      <c r="G81" t="s">
        <v>69</v>
      </c>
      <c r="H81" t="s">
        <v>18</v>
      </c>
      <c r="I81" t="s">
        <v>139</v>
      </c>
      <c r="J81">
        <v>13929.56</v>
      </c>
      <c r="K81">
        <v>3</v>
      </c>
      <c r="L81">
        <v>0.15</v>
      </c>
      <c r="M81">
        <v>3431.98</v>
      </c>
      <c r="N81" t="s">
        <v>40</v>
      </c>
    </row>
    <row r="82" spans="1:14" x14ac:dyDescent="0.3">
      <c r="A82">
        <v>81</v>
      </c>
      <c r="B82" t="s">
        <v>140</v>
      </c>
      <c r="C82" s="1">
        <v>45773</v>
      </c>
      <c r="D82" t="s">
        <v>15</v>
      </c>
      <c r="E82" t="s">
        <v>48</v>
      </c>
      <c r="F82" t="s">
        <v>31</v>
      </c>
      <c r="G82" t="s">
        <v>32</v>
      </c>
      <c r="H82" t="s">
        <v>18</v>
      </c>
      <c r="I82" t="s">
        <v>59</v>
      </c>
      <c r="J82">
        <v>4799.1000000000004</v>
      </c>
      <c r="K82">
        <v>3</v>
      </c>
      <c r="L82">
        <v>0</v>
      </c>
      <c r="M82">
        <v>472.77</v>
      </c>
      <c r="N82" t="s">
        <v>40</v>
      </c>
    </row>
    <row r="83" spans="1:14" x14ac:dyDescent="0.3">
      <c r="A83">
        <v>82</v>
      </c>
      <c r="B83" t="s">
        <v>141</v>
      </c>
      <c r="C83" s="1">
        <v>45899</v>
      </c>
      <c r="D83" t="s">
        <v>36</v>
      </c>
      <c r="E83" t="s">
        <v>48</v>
      </c>
      <c r="F83" t="s">
        <v>68</v>
      </c>
      <c r="G83" t="s">
        <v>69</v>
      </c>
      <c r="H83" t="s">
        <v>33</v>
      </c>
      <c r="I83" t="s">
        <v>57</v>
      </c>
      <c r="J83">
        <v>7731.31</v>
      </c>
      <c r="K83">
        <v>5</v>
      </c>
      <c r="L83">
        <v>0.1</v>
      </c>
      <c r="M83">
        <v>285.83</v>
      </c>
      <c r="N83" t="s">
        <v>40</v>
      </c>
    </row>
    <row r="84" spans="1:14" x14ac:dyDescent="0.3">
      <c r="A84">
        <v>83</v>
      </c>
      <c r="B84" t="s">
        <v>142</v>
      </c>
      <c r="C84" s="1">
        <v>45693</v>
      </c>
      <c r="D84" t="s">
        <v>72</v>
      </c>
      <c r="E84" t="s">
        <v>48</v>
      </c>
      <c r="F84" t="s">
        <v>17</v>
      </c>
      <c r="G84" t="s">
        <v>17</v>
      </c>
      <c r="H84" t="s">
        <v>33</v>
      </c>
      <c r="I84" t="s">
        <v>34</v>
      </c>
      <c r="J84">
        <v>13843.65</v>
      </c>
      <c r="K84">
        <v>4</v>
      </c>
      <c r="L84">
        <v>0.2</v>
      </c>
      <c r="M84">
        <v>2572.59</v>
      </c>
      <c r="N84" t="s">
        <v>28</v>
      </c>
    </row>
    <row r="85" spans="1:14" x14ac:dyDescent="0.3">
      <c r="A85">
        <v>84</v>
      </c>
      <c r="B85" t="s">
        <v>143</v>
      </c>
      <c r="C85" s="1">
        <v>45734</v>
      </c>
      <c r="D85" t="s">
        <v>47</v>
      </c>
      <c r="E85" t="s">
        <v>16</v>
      </c>
      <c r="F85" t="s">
        <v>68</v>
      </c>
      <c r="G85" t="s">
        <v>69</v>
      </c>
      <c r="H85" t="s">
        <v>26</v>
      </c>
      <c r="I85" t="s">
        <v>27</v>
      </c>
      <c r="J85">
        <v>10945.55</v>
      </c>
      <c r="K85">
        <v>5</v>
      </c>
      <c r="L85">
        <v>0.2</v>
      </c>
      <c r="M85">
        <v>1214.58</v>
      </c>
      <c r="N85" t="s">
        <v>28</v>
      </c>
    </row>
    <row r="86" spans="1:14" x14ac:dyDescent="0.3">
      <c r="A86">
        <v>85</v>
      </c>
      <c r="B86" t="s">
        <v>144</v>
      </c>
      <c r="C86" s="1">
        <v>45950</v>
      </c>
      <c r="D86" t="s">
        <v>22</v>
      </c>
      <c r="E86" t="s">
        <v>23</v>
      </c>
      <c r="F86" t="s">
        <v>24</v>
      </c>
      <c r="G86" t="s">
        <v>25</v>
      </c>
      <c r="H86" t="s">
        <v>33</v>
      </c>
      <c r="I86" t="s">
        <v>49</v>
      </c>
      <c r="J86">
        <v>6939.1</v>
      </c>
      <c r="K86">
        <v>7</v>
      </c>
      <c r="L86">
        <v>0.1</v>
      </c>
      <c r="M86">
        <v>1674.55</v>
      </c>
      <c r="N86" t="s">
        <v>20</v>
      </c>
    </row>
    <row r="87" spans="1:14" x14ac:dyDescent="0.3">
      <c r="A87">
        <v>86</v>
      </c>
      <c r="B87" t="s">
        <v>145</v>
      </c>
      <c r="C87" s="1">
        <v>45911</v>
      </c>
      <c r="D87" t="s">
        <v>77</v>
      </c>
      <c r="E87" t="s">
        <v>23</v>
      </c>
      <c r="F87" t="s">
        <v>17</v>
      </c>
      <c r="G87" t="s">
        <v>17</v>
      </c>
      <c r="H87" t="s">
        <v>33</v>
      </c>
      <c r="I87" t="s">
        <v>57</v>
      </c>
      <c r="J87">
        <v>10637.37</v>
      </c>
      <c r="K87">
        <v>8</v>
      </c>
      <c r="L87">
        <v>0.15</v>
      </c>
      <c r="M87">
        <v>252.48</v>
      </c>
      <c r="N87" t="s">
        <v>28</v>
      </c>
    </row>
    <row r="88" spans="1:14" x14ac:dyDescent="0.3">
      <c r="A88">
        <v>87</v>
      </c>
      <c r="B88" t="s">
        <v>146</v>
      </c>
      <c r="C88" s="1">
        <v>45867</v>
      </c>
      <c r="D88" t="s">
        <v>54</v>
      </c>
      <c r="E88" t="s">
        <v>23</v>
      </c>
      <c r="F88" t="s">
        <v>17</v>
      </c>
      <c r="G88" t="s">
        <v>17</v>
      </c>
      <c r="H88" t="s">
        <v>26</v>
      </c>
      <c r="I88" t="s">
        <v>27</v>
      </c>
      <c r="J88">
        <v>1675.73</v>
      </c>
      <c r="K88">
        <v>8</v>
      </c>
      <c r="L88">
        <v>0.15</v>
      </c>
      <c r="M88">
        <v>-239.79</v>
      </c>
      <c r="N88" t="s">
        <v>28</v>
      </c>
    </row>
    <row r="89" spans="1:14" x14ac:dyDescent="0.3">
      <c r="A89">
        <v>88</v>
      </c>
      <c r="B89" t="s">
        <v>147</v>
      </c>
      <c r="C89" s="1">
        <v>45820</v>
      </c>
      <c r="D89" t="s">
        <v>47</v>
      </c>
      <c r="E89" t="s">
        <v>16</v>
      </c>
      <c r="F89" t="s">
        <v>51</v>
      </c>
      <c r="G89" t="s">
        <v>52</v>
      </c>
      <c r="H89" t="s">
        <v>33</v>
      </c>
      <c r="I89" t="s">
        <v>89</v>
      </c>
      <c r="J89">
        <v>9817.58</v>
      </c>
      <c r="K89">
        <v>7</v>
      </c>
      <c r="L89">
        <v>0.1</v>
      </c>
      <c r="M89">
        <v>2292.9299999999998</v>
      </c>
      <c r="N89" t="s">
        <v>20</v>
      </c>
    </row>
    <row r="90" spans="1:14" x14ac:dyDescent="0.3">
      <c r="A90">
        <v>89</v>
      </c>
      <c r="B90" t="s">
        <v>148</v>
      </c>
      <c r="C90" s="1">
        <v>45982</v>
      </c>
      <c r="D90" t="s">
        <v>15</v>
      </c>
      <c r="E90" t="s">
        <v>48</v>
      </c>
      <c r="F90" t="s">
        <v>31</v>
      </c>
      <c r="G90" t="s">
        <v>32</v>
      </c>
      <c r="H90" t="s">
        <v>26</v>
      </c>
      <c r="I90" t="s">
        <v>73</v>
      </c>
      <c r="J90">
        <v>14961.9</v>
      </c>
      <c r="K90">
        <v>5</v>
      </c>
      <c r="L90">
        <v>0</v>
      </c>
      <c r="M90">
        <v>677.58</v>
      </c>
      <c r="N90" t="s">
        <v>28</v>
      </c>
    </row>
    <row r="91" spans="1:14" x14ac:dyDescent="0.3">
      <c r="A91">
        <v>90</v>
      </c>
      <c r="B91" t="s">
        <v>149</v>
      </c>
      <c r="C91" s="1">
        <v>45878</v>
      </c>
      <c r="D91" t="s">
        <v>54</v>
      </c>
      <c r="E91" t="s">
        <v>23</v>
      </c>
      <c r="F91" t="s">
        <v>42</v>
      </c>
      <c r="G91" t="s">
        <v>43</v>
      </c>
      <c r="H91" t="s">
        <v>26</v>
      </c>
      <c r="I91" t="s">
        <v>78</v>
      </c>
      <c r="J91">
        <v>5000.75</v>
      </c>
      <c r="K91">
        <v>1</v>
      </c>
      <c r="L91">
        <v>0</v>
      </c>
      <c r="M91">
        <v>-89.94</v>
      </c>
      <c r="N91" t="s">
        <v>45</v>
      </c>
    </row>
    <row r="92" spans="1:14" x14ac:dyDescent="0.3">
      <c r="A92">
        <v>91</v>
      </c>
      <c r="B92" t="s">
        <v>150</v>
      </c>
      <c r="C92" s="1">
        <v>45975</v>
      </c>
      <c r="D92" t="s">
        <v>36</v>
      </c>
      <c r="E92" t="s">
        <v>48</v>
      </c>
      <c r="F92" t="s">
        <v>51</v>
      </c>
      <c r="G92" t="s">
        <v>52</v>
      </c>
      <c r="H92" t="s">
        <v>18</v>
      </c>
      <c r="I92" t="s">
        <v>139</v>
      </c>
      <c r="J92">
        <v>2715.76</v>
      </c>
      <c r="K92">
        <v>3</v>
      </c>
      <c r="L92">
        <v>0</v>
      </c>
      <c r="M92">
        <v>337.49</v>
      </c>
      <c r="N92" t="s">
        <v>40</v>
      </c>
    </row>
    <row r="93" spans="1:14" x14ac:dyDescent="0.3">
      <c r="A93">
        <v>92</v>
      </c>
      <c r="B93" t="s">
        <v>151</v>
      </c>
      <c r="C93" s="1">
        <v>45896</v>
      </c>
      <c r="D93" t="s">
        <v>72</v>
      </c>
      <c r="E93" t="s">
        <v>16</v>
      </c>
      <c r="F93" t="s">
        <v>56</v>
      </c>
      <c r="G93" t="s">
        <v>43</v>
      </c>
      <c r="H93" t="s">
        <v>26</v>
      </c>
      <c r="I93" t="s">
        <v>78</v>
      </c>
      <c r="J93">
        <v>9640.99</v>
      </c>
      <c r="K93">
        <v>8</v>
      </c>
      <c r="L93">
        <v>0.15</v>
      </c>
      <c r="M93">
        <v>-338.43</v>
      </c>
      <c r="N93" t="s">
        <v>40</v>
      </c>
    </row>
    <row r="94" spans="1:14" x14ac:dyDescent="0.3">
      <c r="A94">
        <v>93</v>
      </c>
      <c r="B94" t="s">
        <v>152</v>
      </c>
      <c r="C94" s="1">
        <v>46011</v>
      </c>
      <c r="D94" t="s">
        <v>72</v>
      </c>
      <c r="E94" t="s">
        <v>48</v>
      </c>
      <c r="F94" t="s">
        <v>51</v>
      </c>
      <c r="G94" t="s">
        <v>52</v>
      </c>
      <c r="H94" t="s">
        <v>26</v>
      </c>
      <c r="I94" t="s">
        <v>44</v>
      </c>
      <c r="J94">
        <v>14189.49</v>
      </c>
      <c r="K94">
        <v>8</v>
      </c>
      <c r="L94">
        <v>0.2</v>
      </c>
      <c r="M94">
        <v>-218.24</v>
      </c>
      <c r="N94" t="s">
        <v>40</v>
      </c>
    </row>
    <row r="95" spans="1:14" x14ac:dyDescent="0.3">
      <c r="A95">
        <v>94</v>
      </c>
      <c r="B95" t="s">
        <v>153</v>
      </c>
      <c r="C95" s="1">
        <v>46016</v>
      </c>
      <c r="D95" t="s">
        <v>72</v>
      </c>
      <c r="E95" t="s">
        <v>23</v>
      </c>
      <c r="F95" t="s">
        <v>37</v>
      </c>
      <c r="G95" t="s">
        <v>32</v>
      </c>
      <c r="H95" t="s">
        <v>33</v>
      </c>
      <c r="I95" t="s">
        <v>49</v>
      </c>
      <c r="J95">
        <v>1778.47</v>
      </c>
      <c r="K95">
        <v>8</v>
      </c>
      <c r="L95">
        <v>0.15</v>
      </c>
      <c r="M95">
        <v>190.95</v>
      </c>
      <c r="N95" t="s">
        <v>28</v>
      </c>
    </row>
    <row r="96" spans="1:14" x14ac:dyDescent="0.3">
      <c r="A96">
        <v>95</v>
      </c>
      <c r="B96" t="s">
        <v>154</v>
      </c>
      <c r="C96" s="1">
        <v>45775</v>
      </c>
      <c r="D96" t="s">
        <v>61</v>
      </c>
      <c r="E96" t="s">
        <v>23</v>
      </c>
      <c r="F96" t="s">
        <v>37</v>
      </c>
      <c r="G96" t="s">
        <v>32</v>
      </c>
      <c r="H96" t="s">
        <v>26</v>
      </c>
      <c r="I96" t="s">
        <v>73</v>
      </c>
      <c r="J96">
        <v>13677.13</v>
      </c>
      <c r="K96">
        <v>1</v>
      </c>
      <c r="L96">
        <v>0.15</v>
      </c>
      <c r="M96">
        <v>3074.31</v>
      </c>
      <c r="N96" t="s">
        <v>28</v>
      </c>
    </row>
    <row r="97" spans="1:14" x14ac:dyDescent="0.3">
      <c r="A97">
        <v>96</v>
      </c>
      <c r="B97" t="s">
        <v>155</v>
      </c>
      <c r="C97" s="1">
        <v>45675</v>
      </c>
      <c r="D97" t="s">
        <v>61</v>
      </c>
      <c r="E97" t="s">
        <v>16</v>
      </c>
      <c r="F97" t="s">
        <v>68</v>
      </c>
      <c r="G97" t="s">
        <v>69</v>
      </c>
      <c r="H97" t="s">
        <v>18</v>
      </c>
      <c r="I97" t="s">
        <v>66</v>
      </c>
      <c r="J97">
        <v>9498.07</v>
      </c>
      <c r="K97">
        <v>3</v>
      </c>
      <c r="L97">
        <v>0</v>
      </c>
      <c r="M97">
        <v>-104.29</v>
      </c>
      <c r="N97" t="s">
        <v>20</v>
      </c>
    </row>
    <row r="98" spans="1:14" x14ac:dyDescent="0.3">
      <c r="A98">
        <v>97</v>
      </c>
      <c r="B98" t="s">
        <v>156</v>
      </c>
      <c r="C98" s="1">
        <v>45929</v>
      </c>
      <c r="D98" t="s">
        <v>72</v>
      </c>
      <c r="E98" t="s">
        <v>23</v>
      </c>
      <c r="F98" t="s">
        <v>42</v>
      </c>
      <c r="G98" t="s">
        <v>43</v>
      </c>
      <c r="H98" t="s">
        <v>33</v>
      </c>
      <c r="I98" t="s">
        <v>34</v>
      </c>
      <c r="J98">
        <v>11262.72</v>
      </c>
      <c r="K98">
        <v>6</v>
      </c>
      <c r="L98">
        <v>0.05</v>
      </c>
      <c r="M98">
        <v>-671.74</v>
      </c>
      <c r="N98" t="s">
        <v>45</v>
      </c>
    </row>
    <row r="99" spans="1:14" x14ac:dyDescent="0.3">
      <c r="A99">
        <v>98</v>
      </c>
      <c r="B99" t="s">
        <v>157</v>
      </c>
      <c r="C99" s="1">
        <v>45773</v>
      </c>
      <c r="D99" t="s">
        <v>22</v>
      </c>
      <c r="E99" t="s">
        <v>16</v>
      </c>
      <c r="F99" t="s">
        <v>17</v>
      </c>
      <c r="G99" t="s">
        <v>17</v>
      </c>
      <c r="H99" t="s">
        <v>33</v>
      </c>
      <c r="I99" t="s">
        <v>34</v>
      </c>
      <c r="J99">
        <v>12102.64</v>
      </c>
      <c r="K99">
        <v>6</v>
      </c>
      <c r="L99">
        <v>0.15</v>
      </c>
      <c r="M99">
        <v>3428.7</v>
      </c>
      <c r="N99" t="s">
        <v>20</v>
      </c>
    </row>
    <row r="100" spans="1:14" x14ac:dyDescent="0.3">
      <c r="A100">
        <v>99</v>
      </c>
      <c r="B100" t="s">
        <v>158</v>
      </c>
      <c r="C100" s="1">
        <v>45957</v>
      </c>
      <c r="D100" t="s">
        <v>22</v>
      </c>
      <c r="E100" t="s">
        <v>16</v>
      </c>
      <c r="F100" t="s">
        <v>37</v>
      </c>
      <c r="G100" t="s">
        <v>32</v>
      </c>
      <c r="H100" t="s">
        <v>33</v>
      </c>
      <c r="I100" t="s">
        <v>34</v>
      </c>
      <c r="J100">
        <v>4113.99</v>
      </c>
      <c r="K100">
        <v>1</v>
      </c>
      <c r="L100">
        <v>0</v>
      </c>
      <c r="M100">
        <v>224.84</v>
      </c>
      <c r="N100" t="s">
        <v>20</v>
      </c>
    </row>
    <row r="101" spans="1:14" x14ac:dyDescent="0.3">
      <c r="A101">
        <v>100</v>
      </c>
      <c r="B101" t="s">
        <v>159</v>
      </c>
      <c r="C101" s="1">
        <v>45970</v>
      </c>
      <c r="D101" t="s">
        <v>36</v>
      </c>
      <c r="E101" t="s">
        <v>16</v>
      </c>
      <c r="F101" t="s">
        <v>42</v>
      </c>
      <c r="G101" t="s">
        <v>43</v>
      </c>
      <c r="H101" t="s">
        <v>18</v>
      </c>
      <c r="I101" t="s">
        <v>59</v>
      </c>
      <c r="J101">
        <v>7177.86</v>
      </c>
      <c r="K101">
        <v>4</v>
      </c>
      <c r="L101">
        <v>0.2</v>
      </c>
      <c r="M101">
        <v>1779.43</v>
      </c>
      <c r="N101" t="s">
        <v>45</v>
      </c>
    </row>
  </sheetData>
  <conditionalFormatting sqref="L3:L101">
    <cfRule type="cellIs" dxfId="1" priority="2" operator="greaterThan">
      <formula>0.1</formula>
    </cfRule>
  </conditionalFormatting>
  <conditionalFormatting sqref="M2:M101">
    <cfRule type="cellIs" dxfId="0" priority="1" operator="lessThan">
      <formula>1250.115</formula>
    </cfRule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5BDA4B-E914-4B6B-93F7-133C5D4EA97E}">
  <dimension ref="A3:C12"/>
  <sheetViews>
    <sheetView workbookViewId="0">
      <selection activeCell="E13" sqref="E13"/>
    </sheetView>
  </sheetViews>
  <sheetFormatPr defaultRowHeight="14.4" x14ac:dyDescent="0.3"/>
  <cols>
    <col min="1" max="1" width="12.44140625" bestFit="1" customWidth="1"/>
    <col min="2" max="3" width="11.5546875" bestFit="1" customWidth="1"/>
  </cols>
  <sheetData>
    <row r="3" spans="1:3" x14ac:dyDescent="0.3">
      <c r="A3" s="2" t="s">
        <v>161</v>
      </c>
      <c r="B3" t="s">
        <v>160</v>
      </c>
      <c r="C3" t="s">
        <v>163</v>
      </c>
    </row>
    <row r="4" spans="1:3" x14ac:dyDescent="0.3">
      <c r="A4" s="6" t="s">
        <v>24</v>
      </c>
      <c r="B4" s="7">
        <v>145958.83000000002</v>
      </c>
      <c r="C4" s="7">
        <v>16001.82</v>
      </c>
    </row>
    <row r="5" spans="1:3" x14ac:dyDescent="0.3">
      <c r="A5" s="3" t="s">
        <v>51</v>
      </c>
      <c r="B5" s="4">
        <v>122249.41000000002</v>
      </c>
      <c r="C5" s="4">
        <v>8090.3200000000015</v>
      </c>
    </row>
    <row r="6" spans="1:3" x14ac:dyDescent="0.3">
      <c r="A6" s="3" t="s">
        <v>68</v>
      </c>
      <c r="B6" s="4">
        <v>119993.22</v>
      </c>
      <c r="C6" s="4">
        <v>10924.609999999999</v>
      </c>
    </row>
    <row r="7" spans="1:3" x14ac:dyDescent="0.3">
      <c r="A7" s="3" t="s">
        <v>42</v>
      </c>
      <c r="B7" s="4">
        <v>87931.17</v>
      </c>
      <c r="C7" s="4">
        <v>3553.8499999999995</v>
      </c>
    </row>
    <row r="8" spans="1:3" x14ac:dyDescent="0.3">
      <c r="A8" s="3" t="s">
        <v>56</v>
      </c>
      <c r="B8" s="4">
        <v>84229.37000000001</v>
      </c>
      <c r="C8" s="4">
        <v>7158.85</v>
      </c>
    </row>
    <row r="9" spans="1:3" x14ac:dyDescent="0.3">
      <c r="A9" s="3" t="s">
        <v>17</v>
      </c>
      <c r="B9" s="4">
        <v>65102.280000000006</v>
      </c>
      <c r="C9" s="4">
        <v>6185.66</v>
      </c>
    </row>
    <row r="10" spans="1:3" x14ac:dyDescent="0.3">
      <c r="A10" s="3" t="s">
        <v>31</v>
      </c>
      <c r="B10" s="4">
        <v>57320.049999999996</v>
      </c>
      <c r="C10" s="4">
        <v>5837.15</v>
      </c>
    </row>
    <row r="11" spans="1:3" x14ac:dyDescent="0.3">
      <c r="A11" s="3" t="s">
        <v>37</v>
      </c>
      <c r="B11" s="4">
        <v>52707.319999999992</v>
      </c>
      <c r="C11" s="4">
        <v>3177.6400000000003</v>
      </c>
    </row>
    <row r="12" spans="1:3" x14ac:dyDescent="0.3">
      <c r="A12" s="3" t="s">
        <v>162</v>
      </c>
      <c r="B12" s="5">
        <v>735491.65000000014</v>
      </c>
      <c r="C12" s="5">
        <v>60929.9</v>
      </c>
    </row>
  </sheetData>
  <sortState xmlns:xlrd2="http://schemas.microsoft.com/office/spreadsheetml/2017/richdata2" ref="A3:C12">
    <sortCondition descending="1" ref="B3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17C87F-0E49-45D3-BC7D-4189AF1F5A34}">
  <dimension ref="A3:B7"/>
  <sheetViews>
    <sheetView workbookViewId="0">
      <selection activeCell="H4" sqref="H4"/>
    </sheetView>
  </sheetViews>
  <sheetFormatPr defaultRowHeight="14.4" x14ac:dyDescent="0.3"/>
  <cols>
    <col min="1" max="1" width="13.109375" bestFit="1" customWidth="1"/>
    <col min="2" max="2" width="11.5546875" bestFit="1" customWidth="1"/>
  </cols>
  <sheetData>
    <row r="3" spans="1:2" x14ac:dyDescent="0.3">
      <c r="A3" s="2" t="s">
        <v>161</v>
      </c>
      <c r="B3" t="s">
        <v>160</v>
      </c>
    </row>
    <row r="4" spans="1:2" x14ac:dyDescent="0.3">
      <c r="A4" s="3" t="s">
        <v>33</v>
      </c>
      <c r="B4" s="5">
        <v>279115.99</v>
      </c>
    </row>
    <row r="5" spans="1:2" x14ac:dyDescent="0.3">
      <c r="A5" s="3" t="s">
        <v>18</v>
      </c>
      <c r="B5" s="5">
        <v>192167.39</v>
      </c>
    </row>
    <row r="6" spans="1:2" x14ac:dyDescent="0.3">
      <c r="A6" s="3" t="s">
        <v>26</v>
      </c>
      <c r="B6" s="5">
        <v>264208.26999999996</v>
      </c>
    </row>
    <row r="7" spans="1:2" x14ac:dyDescent="0.3">
      <c r="A7" s="3" t="s">
        <v>162</v>
      </c>
      <c r="B7" s="5">
        <v>735491.64999999991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D8189B-3E7E-4E65-8E46-4DC6855A7803}">
  <dimension ref="A3:H19"/>
  <sheetViews>
    <sheetView workbookViewId="0">
      <selection activeCell="H19" sqref="H19"/>
    </sheetView>
  </sheetViews>
  <sheetFormatPr defaultRowHeight="14.4" x14ac:dyDescent="0.3"/>
  <cols>
    <col min="1" max="1" width="12.44140625" bestFit="1" customWidth="1"/>
    <col min="2" max="2" width="11.5546875" bestFit="1" customWidth="1"/>
  </cols>
  <sheetData>
    <row r="3" spans="1:2" x14ac:dyDescent="0.3">
      <c r="A3" s="2" t="s">
        <v>161</v>
      </c>
      <c r="B3" t="s">
        <v>163</v>
      </c>
    </row>
    <row r="4" spans="1:2" x14ac:dyDescent="0.3">
      <c r="A4" s="3" t="s">
        <v>73</v>
      </c>
      <c r="B4" s="5">
        <v>9817.9500000000007</v>
      </c>
    </row>
    <row r="5" spans="1:2" x14ac:dyDescent="0.3">
      <c r="A5" s="3" t="s">
        <v>49</v>
      </c>
      <c r="B5" s="5">
        <v>9351.98</v>
      </c>
    </row>
    <row r="6" spans="1:2" x14ac:dyDescent="0.3">
      <c r="A6" s="3" t="s">
        <v>89</v>
      </c>
      <c r="B6" s="5">
        <v>8721.8499999999985</v>
      </c>
    </row>
    <row r="7" spans="1:2" x14ac:dyDescent="0.3">
      <c r="A7" s="3" t="s">
        <v>34</v>
      </c>
      <c r="B7" s="5">
        <v>7569.13</v>
      </c>
    </row>
    <row r="8" spans="1:2" x14ac:dyDescent="0.3">
      <c r="A8" s="3" t="s">
        <v>59</v>
      </c>
      <c r="B8" s="5">
        <v>6682</v>
      </c>
    </row>
    <row r="9" spans="1:2" x14ac:dyDescent="0.3">
      <c r="A9" s="3" t="s">
        <v>162</v>
      </c>
      <c r="B9" s="5">
        <v>42142.91</v>
      </c>
    </row>
    <row r="19" spans="8:8" x14ac:dyDescent="0.3">
      <c r="H19" t="s">
        <v>167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6EE252-0442-4CD1-89EE-89B2D9250D6B}">
  <dimension ref="A1:C4"/>
  <sheetViews>
    <sheetView tabSelected="1" workbookViewId="0">
      <selection activeCell="A4" sqref="A4"/>
    </sheetView>
  </sheetViews>
  <sheetFormatPr defaultRowHeight="14.4" x14ac:dyDescent="0.3"/>
  <cols>
    <col min="1" max="1" width="29.44140625" customWidth="1"/>
    <col min="3" max="3" width="14.5546875" customWidth="1"/>
  </cols>
  <sheetData>
    <row r="1" spans="1:3" ht="18" x14ac:dyDescent="0.35">
      <c r="A1" s="9" t="s">
        <v>164</v>
      </c>
      <c r="B1" s="9"/>
      <c r="C1" s="9"/>
    </row>
    <row r="3" spans="1:3" ht="18" x14ac:dyDescent="0.35">
      <c r="A3" s="10" t="s">
        <v>165</v>
      </c>
      <c r="C3" s="8" t="s">
        <v>166</v>
      </c>
    </row>
    <row r="4" spans="1:3" ht="18" x14ac:dyDescent="0.35">
      <c r="A4" s="10">
        <f>SUM(SampleSuperstore_100_Rows!J75:J101)</f>
        <v>232670.34999999998</v>
      </c>
      <c r="C4" s="8">
        <f>SUM(SampleSuperstore_100_Rows[Profit])</f>
        <v>60929.899999999987</v>
      </c>
    </row>
  </sheetData>
  <mergeCells count="1">
    <mergeCell ref="A1:C1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DB9839F-AB01-4C71-95B4-6DBBE20612C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SampleSuperstore_100_Rows</vt:lpstr>
      <vt:lpstr>Sheet2</vt:lpstr>
      <vt:lpstr>Sheet3</vt:lpstr>
      <vt:lpstr>Sheet4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Dolly Patel</dc:creator>
  <cp:lastModifiedBy>Dolly Patel</cp:lastModifiedBy>
  <dcterms:created xsi:type="dcterms:W3CDTF">2026-10-01T08:44:48Z</dcterms:created>
  <dcterms:modified xsi:type="dcterms:W3CDTF">2026-10-01T10:59:28Z</dcterms:modified>
</cp:coreProperties>
</file>